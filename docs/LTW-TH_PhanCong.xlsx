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af0907fc4c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Tong quan" sheetId="1" r:id="R406f103dc8e04884"/>
    <x:sheet xmlns:r="http://schemas.openxmlformats.org/officeDocument/2006/relationships" name="01 Yeu cau FR" sheetId="2" r:id="R6a7f3e289d1248ea"/>
    <x:sheet xmlns:r="http://schemas.openxmlformats.org/officeDocument/2006/relationships" name="02 Task chi tiet" sheetId="3" r:id="R65af62f4198049c0"/>
    <x:sheet xmlns:r="http://schemas.openxmlformats.org/officeDocument/2006/relationships" name="03 Lich 10 ngay" sheetId="4" r:id="R8b6e370ce59d46ac"/>
    <x:sheet xmlns:r="http://schemas.openxmlformats.org/officeDocument/2006/relationships" name="04 Test case" sheetId="5" r:id="Rbb64192a2f2e4869"/>
    <x:sheet xmlns:r="http://schemas.openxmlformats.org/officeDocument/2006/relationships" name="05 Backlog" sheetId="6" r:id="Rfe56e52fdc6e49d3"/>
    <x:sheet xmlns:r="http://schemas.openxmlformats.org/officeDocument/2006/relationships" name="06 RACI" sheetId="7" r:id="Rc7dea9cc20af4528"/>
    <x:sheet xmlns:r="http://schemas.openxmlformats.org/officeDocument/2006/relationships" name="07 Rui ro" sheetId="8" r:id="R1d4979a1853c4a49"/>
    <x:sheet xmlns:r="http://schemas.openxmlformats.org/officeDocument/2006/relationships" name="08 Code audit" sheetId="9" r:id="Re02b3a90d26e473c"/>
    <x:sheet xmlns:r="http://schemas.openxmlformats.org/officeDocument/2006/relationships" name="09 Huong dan" sheetId="10" r:id="Rb7b20e1ebfbd44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%"/>
  </x:numFmts>
  <x:fonts count="8">
    <x:font>
      <x:sz val="11"/>
      <x:name val="Carlito"/>
    </x:font>
    <x:font>
      <x:b/>
      <x:sz val="15"/>
      <x:color rgb="FFFFFFFF"/>
      <x:name val="Carlito"/>
    </x:font>
    <x:font>
      <x:sz val="10"/>
      <x:color rgb="FF1D304A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D304A"/>
      <x:name val="Carlito"/>
    </x:font>
    <x:font>
      <x:sz val="11"/>
      <x:color rgb="FF1D304A"/>
      <x:name val="Carlito"/>
    </x:font>
    <x:font>
      <x:b/>
      <x:sz val="20"/>
      <x:color rgb="FF142B4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B4C"/>
      </x:patternFill>
    </x:fill>
    <x:fill>
      <x:patternFill patternType="solid">
        <x:fgColor rgb="FFEAF4F5"/>
      </x:patternFill>
    </x:fill>
    <x:fill>
      <x:patternFill patternType="solid">
        <x:fgColor rgb="FF057D83"/>
      </x:patternFill>
    </x:fill>
    <x:fill>
      <x:patternFill patternType="solid">
        <x:fgColor rgb="FFF3F6FA"/>
      </x:patternFill>
    </x:fill>
    <x:fill>
      <x:patternFill patternType="solid">
        <x:fgColor rgb="FFFFF2D9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/>
    <x:xf numFmtId="20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2" fillId="5" borderId="0" xfId="0" applyNumberFormat="1" applyFont="1" applyFill="1" applyBorder="1" applyAlignment="1">
      <x:alignment vertical="center" wrapText="1"/>
    </x:xf>
    <x:xf numFmtId="200" fontId="2" fillId="5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6" fillId="5" borderId="0" xfId="0" applyNumberFormat="1" applyFont="1" applyFill="1" applyBorder="1"/>
    <x:xf numFmtId="201" fontId="6" fillId="5" borderId="0" xfId="0" applyNumberFormat="1" applyFont="1" applyFill="1" applyBorder="1"/>
    <x:xf numFmtId="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6" fillId="5" borderId="1" xfId="0" applyNumberFormat="1" applyFont="1" applyFill="1" applyBorder="1"/>
    <x:xf numFmtId="201" fontId="6" fillId="5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616da767dd4bb2" /><Relationship Type="http://schemas.openxmlformats.org/officeDocument/2006/relationships/theme" Target="/xl/theme/theme1.xml" Id="R48168fb1a08a4705" /><Relationship Type="http://schemas.openxmlformats.org/officeDocument/2006/relationships/sharedStrings" Target="/xl/sharedStrings.xml" Id="R6cd5be4d17974e66" /><Relationship Type="http://schemas.openxmlformats.org/officeDocument/2006/relationships/worksheet" Target="/xl/worksheets/sheet1.xml" Id="R406f103dc8e04884" /><Relationship Type="http://schemas.openxmlformats.org/officeDocument/2006/relationships/worksheet" Target="/xl/worksheets/sheet2.xml" Id="R6a7f3e289d1248ea" /><Relationship Type="http://schemas.openxmlformats.org/officeDocument/2006/relationships/worksheet" Target="/xl/worksheets/sheet3.xml" Id="R65af62f4198049c0" /><Relationship Type="http://schemas.openxmlformats.org/officeDocument/2006/relationships/worksheet" Target="/xl/worksheets/sheet4.xml" Id="R8b6e370ce59d46ac" /><Relationship Type="http://schemas.openxmlformats.org/officeDocument/2006/relationships/worksheet" Target="/xl/worksheets/sheet5.xml" Id="Rbb64192a2f2e4869" /><Relationship Type="http://schemas.openxmlformats.org/officeDocument/2006/relationships/worksheet" Target="/xl/worksheets/sheet6.xml" Id="Rfe56e52fdc6e49d3" /><Relationship Type="http://schemas.openxmlformats.org/officeDocument/2006/relationships/worksheet" Target="/xl/worksheets/sheet7.xml" Id="Rc7dea9cc20af4528" /><Relationship Type="http://schemas.openxmlformats.org/officeDocument/2006/relationships/worksheet" Target="/xl/worksheets/sheet8.xml" Id="R1d4979a1853c4a49" /><Relationship Type="http://schemas.openxmlformats.org/officeDocument/2006/relationships/worksheet" Target="/xl/worksheets/sheet9.xml" Id="Re02b3a90d26e473c" /><Relationship Type="http://schemas.openxmlformats.org/officeDocument/2006/relationships/worksheet" Target="/xl/worksheets/sheet10.xml" Id="Rb7b20e1ebfbd443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040cd50889a4d6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Khối lượng kế hoạch theo ngày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Ngày dự kiến</c:v>
          </c:tx>
          <c:cat>
            <c:strRef>
              <c:f>'03 Lich 10 ngay'!$A$5:$A$14</c:f>
              <c:strCache>
                <c:ptCount val="0"/>
              </c:strCache>
            </c:strRef>
          </c:cat>
          <c:val>
            <c:numRef>
              <c:f>'03 Lich 10 ngay'!$B$5:$B$14</c:f>
              <c:numCache>
                <c:formatCode>dd/mm/yyyy</c:formatCode>
                <c:ptCount val="0"/>
              </c:numCache>
            </c:numRef>
          </c:val>
        </c:ser>
        <c:ser>
          <c:idx val="1"/>
          <c:order val="1"/>
          <c:tx>
            <c:v>Mục tiêu/Release gate</c:v>
          </c:tx>
          <c:cat>
            <c:strRef>
              <c:f>'03 Lich 10 ngay'!$A$5:$A$14</c:f>
              <c:strCache>
                <c:ptCount val="0"/>
              </c:strCache>
            </c:strRef>
          </c:cat>
          <c:val>
            <c:numRef>
              <c:f>'03 Lich 10 ngay'!$C$5:$C$14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Huy (giờ)</c:v>
          </c:tx>
          <c:cat>
            <c:strRef>
              <c:f>'03 Lich 10 ngay'!$A$5:$A$14</c:f>
              <c:strCache>
                <c:ptCount val="0"/>
              </c:strCache>
            </c:strRef>
          </c:cat>
          <c:val>
            <c:numRef>
              <c:f>'03 Lich 10 ngay'!$D$5:$D$14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Duy (giờ)</c:v>
          </c:tx>
          <c:cat>
            <c:strRef>
              <c:f>'03 Lich 10 ngay'!$A$5:$A$14</c:f>
              <c:strCache>
                <c:ptCount val="0"/>
              </c:strCache>
            </c:strRef>
          </c:cat>
          <c:val>
            <c:numRef>
              <c:f>'03 Lich 10 ngay'!$E$5:$E$14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Quý (giờ)</c:v>
          </c:tx>
          <c:cat>
            <c:strRef>
              <c:f>'03 Lich 10 ngay'!$A$5:$A$14</c:f>
              <c:strCache>
                <c:ptCount val="0"/>
              </c:strCache>
            </c:strRef>
          </c:cat>
          <c:val>
            <c:numRef>
              <c:f>'03 Lich 10 ngay'!$F$5:$F$14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Tổng giờ</c:v>
          </c:tx>
          <c:cat>
            <c:strRef>
              <c:f>'03 Lich 10 ngay'!$A$5:$A$14</c:f>
              <c:strCache>
                <c:ptCount val="0"/>
              </c:strCache>
            </c:strRef>
          </c:cat>
          <c:val>
            <c:numRef>
              <c:f>'03 Lich 10 ngay'!$G$5:$G$14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40cd50889a4d6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quirementTable" displayName="RequirementTable" ref="A4:L54" headerRowCount="1" totalsRowCount="0" totalsRowShown="0">
  <x:tableColumns count="12">
    <x:tableColumn id="1" name="FR ID"/>
    <x:tableColumn id="2" name="Nhóm"/>
    <x:tableColumn id="3" name="Ưu tiên"/>
    <x:tableColumn id="4" name="Tính năng"/>
    <x:tableColumn id="5" name="Trạng thái code"/>
    <x:tableColumn id="6" name="Mức xác minh"/>
    <x:tableColumn id="7" name="Owner"/>
    <x:tableColumn id="8" name="Điều kiện đạt (DoD)"/>
    <x:tableColumn id="9" name="File code"/>
    <x:tableColumn id="10" name="Test liên quan"/>
    <x:tableColumn id="11" name="QA status"/>
    <x:tableColumn id="12" name="Evidence/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sTable" displayName="TasksTable" ref="A4:Q94" headerRowCount="1" totalsRowCount="0" totalsRowShown="0">
  <x:tableColumns count="17">
    <x:tableColumn id="1" name="Task ID"/>
    <x:tableColumn id="2" name="Ngày số"/>
    <x:tableColumn id="3" name="Ngày dự kiến"/>
    <x:tableColumn id="4" name="Owner"/>
    <x:tableColumn id="5" name="Loại việc"/>
    <x:tableColumn id="6" name="Ưu tiên"/>
    <x:tableColumn id="7" name="FR/NFR liên quan"/>
    <x:tableColumn id="8" name="Tên task"/>
    <x:tableColumn id="9" name="Cách thực hiện"/>
    <x:tableColumn id="10" name="File/thư mục"/>
    <x:tableColumn id="11" name="Điều kiện DONE"/>
    <x:tableColumn id="12" name="Task phụ thuộc"/>
    <x:tableColumn id="13" name="Giờ dự kiến"/>
    <x:tableColumn id="14" name="Baseline / ghi chú"/>
    <x:tableColumn id="15" name="Trạng thái task"/>
    <x:tableColumn id="16" name="Evidence / PR / link"/>
    <x:tableColumn id="17" name="Review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ceptanceTestsTable" displayName="AcceptanceTestsTable" ref="A4:L41" headerRowCount="1" totalsRowCount="0" totalsRowShown="0">
  <x:tableColumns count="12">
    <x:tableColumn id="1" name="TC ID"/>
    <x:tableColumn id="2" name="Nhóm"/>
    <x:tableColumn id="3" name="FR liên quan"/>
    <x:tableColumn id="4" name="Owner"/>
    <x:tableColumn id="5" name="Loại test"/>
    <x:tableColumn id="6" name="Bước kiểm thử"/>
    <x:tableColumn id="7" name="Expected output"/>
    <x:tableColumn id="8" name="Trạng thái"/>
    <x:tableColumn id="9" name="Evidence"/>
    <x:tableColumn id="10" name="Build commit"/>
    <x:tableColumn id="11" name="Reviewer"/>
    <x:tableColumn id="12" name="Ngày chạ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admapTable" displayName="RoadmapTable" ref="A4:K18" headerRowCount="1" totalsRowCount="0" totalsRowShown="0">
  <x:tableColumns count="11">
    <x:tableColumn id="1" name="BKL ID"/>
    <x:tableColumn id="2" name="Tên mở rộng"/>
    <x:tableColumn id="3" name="Ưu tiên"/>
    <x:tableColumn id="4" name="Độ phức tạp"/>
    <x:tableColumn id="5" name="Hiện trạng"/>
    <x:tableColumn id="6" name="Lợi ích"/>
    <x:tableColumn id="7" name="Phụ thuộc/gate"/>
    <x:tableColumn id="8" name="Giờ dự kiến"/>
    <x:tableColumn id="9" name="Owner đề xuất"/>
    <x:tableColumn id="10" name="Trạng thái phát triển"/>
    <x:tableColumn id="11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1d1e48084340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6452f354574e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5ca937129ef4e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14fb42230a947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c3520e8526e4a1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1" hidden="0" customWidth="1"/>
    <x:col min="3" max="3" width="18" hidden="0" customWidth="1"/>
    <x:col min="4" max="4" width="24" hidden="0" customWidth="1"/>
    <x:col min="5" max="5" width="32" hidden="0" customWidth="1"/>
    <x:col min="6" max="6" width="12" hidden="0" customWidth="1"/>
    <x:col min="7" max="7" width="18" hidden="0" customWidth="1"/>
    <x:col min="8" max="8" width="14" hidden="0" customWidth="1"/>
    <x:col min="9" max="9" width="16" hidden="0" customWidth="1"/>
    <x:col min="10" max="10" width="23" hidden="0" customWidth="1"/>
    <x:col min="11" max="11" width="18" hidden="0" customWidth="1"/>
    <x:col min="12" max="12" width="15" hidden="0" customWidth="1"/>
    <x:col min="13" max="13" width="15" hidden="0" customWidth="1"/>
  </x:cols>
  <x:sheetData>
    <x:row r="1" ht="26" customHeight="1">
      <x:c r="A1" s="41" t="str">
        <x:v>LTW-TH · CRAWLINSIGHT V4.1 | SRS + WORK PLAN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</x:row>
    <x:row r="2" ht="26" customHeight="1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</x:row>
    <x:row r="3" ht="25" customHeight="1">
      <x:c r="A3" s="9" t="str">
        <x:v>Baseline: source V4 ngày 21/10/2026 · 50 FR · 18 NFR · 37 TC · 90 việc · chưa nghiệm thu end-to-end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6">
      <x:c r="A6" s="44" t="str">
        <x:v>Ngày bắt đầu D1 (sửa tại B6)</x:v>
      </x:c>
      <x:c r="B6" s="30" t="n">
        <x:v>46317</x:v>
      </x:c>
      <x:c r="D6" s="44" t="str">
        <x:v>Trạng thái release</x:v>
      </x:c>
      <x:c r="E6" s="47" t="str">
        <x:v>CHƯA NGHIỆM THU</x:v>
      </x:c>
    </x:row>
    <x:row r="7">
      <x:c r="A7" s="44" t="str">
        <x:v>Ngày dự kiến D10</x:v>
      </x:c>
      <x:c r="B7" s="30" t="n">
        <x:f>B6+9</x:f>
        <x:v>46326</x:v>
      </x:c>
      <x:c r="D7" s="44" t="str">
        <x:v>Hạn nộp của thầy</x:v>
      </x:c>
      <x:c r="E7" s="47" t="str">
        <x:v>Chưa xác minh; không coi D10 là deadline</x:v>
      </x:c>
    </x:row>
    <x:row r="10" ht="24" customHeight="1">
      <x:c r="A10" s="15" t="str">
        <x:v>Số task</x:v>
      </x:c>
      <x:c r="D10" s="15" t="str">
        <x:v>Task Done</x:v>
      </x:c>
      <x:c r="G10" s="15" t="str">
        <x:v>TC PASS</x:v>
      </x:c>
      <x:c r="J10" s="15" t="str">
        <x:v>FR đạt</x:v>
      </x:c>
    </x:row>
    <x:row r="11" ht="42" customHeight="1">
      <x:c r="A11" s="50" t="n">
        <x:f>COUNTA('02 Task chi tiet'!$A$5:$A$94)</x:f>
        <x:v>90</x:v>
      </x:c>
      <x:c r="D11" s="50" t="n">
        <x:f>COUNTIF('02 Task chi tiet'!$O$5:$O$94,"Hoàn thành")</x:f>
        <x:v>0</x:v>
      </x:c>
      <x:c r="G11" s="50" t="n">
        <x:f>COUNTIF('04 Test case'!$H$5:$H$41,"PASS")</x:f>
        <x:v>0</x:v>
      </x:c>
      <x:c r="J11" s="50" t="n">
        <x:f>COUNTIF('01 Yeu cau FR'!$K$5:$K$54,"Đạt")</x:f>
        <x:v>0</x:v>
      </x:c>
    </x:row>
    <x:row r="14" ht="27" customHeight="1">
      <x:c r="A14" s="52" t="str">
        <x:v>Thành viên</x:v>
      </x:c>
      <x:c r="B14" s="52" t="str">
        <x:v>Tasks</x:v>
      </x:c>
      <x:c r="C14" s="52" t="str">
        <x:v>Giờ kế hoạch</x:v>
      </x:c>
      <x:c r="D14" s="52" t="str">
        <x:v>Done</x:v>
      </x:c>
      <x:c r="E14" s="52" t="str">
        <x:v>Hoàn thành %</x:v>
      </x:c>
    </x:row>
    <x:row r="15" ht="26" customHeight="1">
      <x:c r="A15" s="58" t="str">
        <x:v>Huy</x:v>
      </x:c>
      <x:c r="B15" s="58" t="n">
        <x:f>COUNTIF('02 Task chi tiet'!$D$5:$D$94,A15)</x:f>
        <x:v>30</x:v>
      </x:c>
      <x:c r="C15" s="58" t="n">
        <x:f>SUMIF('02 Task chi tiet'!$D$5:$D$94,A15,'02 Task chi tiet'!$M$5:$M$94)</x:f>
        <x:v>50</x:v>
      </x:c>
      <x:c r="D15" s="58" t="n">
        <x:f>COUNTIFS('02 Task chi tiet'!$D$5:$D$94,A15,'02 Task chi tiet'!$O$5:$O$94,"Hoàn thành")</x:f>
        <x:v>0</x:v>
      </x:c>
      <x:c r="E15" s="59" t="n">
        <x:f>IFERROR(D15/B15,0)</x:f>
        <x:v>0</x:v>
      </x:c>
    </x:row>
    <x:row r="16" ht="26" customHeight="1">
      <x:c r="A16" s="58" t="str">
        <x:v>Phạm Ngọc Duy</x:v>
      </x:c>
      <x:c r="B16" s="58" t="n">
        <x:f>COUNTIF('02 Task chi tiet'!$D$5:$D$94,A16)</x:f>
        <x:v>30</x:v>
      </x:c>
      <x:c r="C16" s="58" t="n">
        <x:f>SUMIF('02 Task chi tiet'!$D$5:$D$94,A16,'02 Task chi tiet'!$M$5:$M$94)</x:f>
        <x:v>50</x:v>
      </x:c>
      <x:c r="D16" s="58" t="n">
        <x:f>COUNTIFS('02 Task chi tiet'!$D$5:$D$94,A16,'02 Task chi tiet'!$O$5:$O$94,"Hoàn thành")</x:f>
        <x:v>0</x:v>
      </x:c>
      <x:c r="E16" s="59" t="n">
        <x:f>IFERROR(D16/B16,0)</x:f>
        <x:v>0</x:v>
      </x:c>
    </x:row>
    <x:row r="17" ht="26" customHeight="1">
      <x:c r="A17" s="58" t="str">
        <x:v>Nguyễn Trọng Quý</x:v>
      </x:c>
      <x:c r="B17" s="58" t="n">
        <x:f>COUNTIF('02 Task chi tiet'!$D$5:$D$94,A17)</x:f>
        <x:v>30</x:v>
      </x:c>
      <x:c r="C17" s="58" t="n">
        <x:f>SUMIF('02 Task chi tiet'!$D$5:$D$94,A17,'02 Task chi tiet'!$M$5:$M$94)</x:f>
        <x:v>50</x:v>
      </x:c>
      <x:c r="D17" s="58" t="n">
        <x:f>COUNTIFS('02 Task chi tiet'!$D$5:$D$94,A17,'02 Task chi tiet'!$O$5:$O$94,"Hoàn thành")</x:f>
        <x:v>0</x:v>
      </x:c>
      <x:c r="E17" s="59" t="n">
        <x:f>IFERROR(D17/B17,0)</x:f>
        <x:v>0</x:v>
      </x:c>
    </x:row>
    <x:row r="20">
      <x:c r="A20" s="52" t="str">
        <x:v>Gate duyệt bản giao</x:v>
      </x:c>
      <x:c r="B20" s="52"/>
      <x:c r="C20" s="52"/>
      <x:c r="D20" s="52"/>
      <x:c r="E20" s="52"/>
    </x:row>
    <x:row r="21">
      <x:c r="A21" t="str">
        <x:v>Gate 1</x:v>
      </x:c>
      <x:c r="B21" t="str">
        <x:v>Cài chạy Windows mới + DB migration an toàn</x:v>
      </x:c>
      <x:c r="C21" t="str">
        <x:v>P0</x:v>
      </x:c>
      <x:c r="D21" t="str">
        <x:v>Chưa duyệt</x:v>
      </x:c>
      <x:c r="E21" t="str">
        <x:v>D1–D3</x:v>
      </x:c>
    </x:row>
    <x:row r="22">
      <x:c r="A22" t="str">
        <x:v>Gate 2</x:v>
      </x:c>
      <x:c r="B22" t="str">
        <x:v>Crawl live 2 trang + dedup + metrics</x:v>
      </x:c>
      <x:c r="C22" t="str">
        <x:v>P0</x:v>
      </x:c>
      <x:c r="D22" t="str">
        <x:v>Chưa duyệt</x:v>
      </x:c>
      <x:c r="E22" t="str">
        <x:v>D2–D6</x:v>
      </x:c>
    </x:row>
    <x:row r="23">
      <x:c r="A23" t="str">
        <x:v>Gate 3</x:v>
      </x:c>
      <x:c r="B23" t="str">
        <x:v>Auth/CSRF + A/B isolation + recovery</x:v>
      </x:c>
      <x:c r="C23" t="str">
        <x:v>P0</x:v>
      </x:c>
      <x:c r="D23" t="str">
        <x:v>Chưa duyệt</x:v>
      </x:c>
      <x:c r="E23" t="str">
        <x:v>D2–D7</x:v>
      </x:c>
    </x:row>
    <x:row r="24">
      <x:c r="A24" t="str">
        <x:v>Gate 4</x:v>
      </x:c>
      <x:c r="B24" t="str">
        <x:v>UX VI/EN/dark/mobile + API/CSV</x:v>
      </x:c>
      <x:c r="C24" t="str">
        <x:v>P0/P1</x:v>
      </x:c>
      <x:c r="D24" t="str">
        <x:v>Chưa duyệt</x:v>
      </x:c>
      <x:c r="E24" t="str">
        <x:v>D5–D9</x:v>
      </x:c>
    </x:row>
    <x:row r="25">
      <x:c r="A25" t="str">
        <x:v>Gate 5</x:v>
      </x:c>
      <x:c r="B25" t="str">
        <x:v>Full pytest/TC + report/video/ZIP</x:v>
      </x:c>
      <x:c r="C25" t="str">
        <x:v>P0</x:v>
      </x:c>
      <x:c r="D25" t="str">
        <x:v>Chưa duyệt</x:v>
      </x:c>
      <x:c r="E25" t="str">
        <x:v>D8–D10</x:v>
      </x:c>
    </x:row>
    <x:row r="27" ht="32" customHeight="1">
      <x:c r="A27" s="65" t="str">
        <x:v>Đọc sheet "09 Huong dan" trước; khi task DONE điền PR + reviewer + TC evidence. BKL P2 không tính vào tiến độ 90 task.</x:v>
      </x:c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</x:row>
  </x:sheetData>
  <x:mergeCells>
    <x:mergeCell ref="A1:M2"/>
    <x:mergeCell ref="A3:M3"/>
    <x:mergeCell ref="A27:M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1" hidden="0" customWidth="1"/>
    <x:col min="4" max="4" width="31" hidden="0" customWidth="1"/>
    <x:col min="5" max="5" width="16" hidden="0" customWidth="1"/>
    <x:col min="6" max="6" width="25" hidden="0" customWidth="1"/>
    <x:col min="7" max="7" width="19" hidden="0" customWidth="1"/>
    <x:col min="8" max="8" width="47" hidden="0" customWidth="1"/>
    <x:col min="9" max="9" width="38" hidden="0" customWidth="1"/>
    <x:col min="10" max="10" width="24" hidden="0" customWidth="1"/>
    <x:col min="11" max="11" width="18" hidden="0" customWidth="1"/>
    <x:col min="12" max="12" width="33" hidden="0" customWidth="1"/>
  </x:cols>
  <x:sheetData>
    <x:row r="1" ht="34" customHeight="1">
      <x:c r="A1" s="4" t="str">
        <x:v>SRS 4.1 · DANH MỤC YÊU CẦU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6" customHeight="1">
      <x:c r="A2" s="10" t="str">
        <x:v>50 FR từ source V4 · cột K/L do team cập nhật sau nghiệm thu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17" t="str">
        <x:v>FR ID</x:v>
      </x:c>
      <x:c r="B4" s="17" t="str">
        <x:v>Nhóm</x:v>
      </x:c>
      <x:c r="C4" s="17" t="str">
        <x:v>Ưu tiên</x:v>
      </x:c>
      <x:c r="D4" s="17" t="str">
        <x:v>Tính năng</x:v>
      </x:c>
      <x:c r="E4" s="17" t="str">
        <x:v>Trạng thái code</x:v>
      </x:c>
      <x:c r="F4" s="17" t="str">
        <x:v>Mức xác minh</x:v>
      </x:c>
      <x:c r="G4" s="17" t="str">
        <x:v>Owner</x:v>
      </x:c>
      <x:c r="H4" s="17" t="str">
        <x:v>Điều kiện đạt (DoD)</x:v>
      </x:c>
      <x:c r="I4" s="17" t="str">
        <x:v>File code</x:v>
      </x:c>
      <x:c r="J4" s="17" t="str">
        <x:v>Test liên quan</x:v>
      </x:c>
      <x:c r="K4" s="17" t="str">
        <x:v>QA status</x:v>
      </x:c>
      <x:c r="L4" s="17" t="str">
        <x:v>Evidence/PR</x:v>
      </x:c>
    </x:row>
    <x:row r="5" ht="44" customHeight="1">
      <x:c r="A5" s="24" t="str">
        <x:v>FR-PUB-01</x:v>
      </x:c>
      <x:c r="B5" s="24" t="str">
        <x:v>PUBLIC</x:v>
      </x:c>
      <x:c r="C5" s="24" t="str">
        <x:v>P0</x:v>
      </x:c>
      <x:c r="D5" s="24" t="str">
        <x:v>Landing page giới thiệu CrawlInsight</x:v>
      </x:c>
      <x:c r="E5" s="24" t="str">
        <x:v>Có code</x:v>
      </x:c>
      <x:c r="F5" s="24" t="str">
        <x:v>Chưa test trình duyệt</x:v>
      </x:c>
      <x:c r="G5" s="24" t="str">
        <x:v>Huy</x:v>
      </x:c>
      <x:c r="H5" s="24" t="str">
        <x:v>Khách mở / thấy mục đích, công dụng, quy trình 3 bước và CTA dẫn đúng route.</x:v>
      </x:c>
      <x:c r="I5" s="24" t="str">
        <x:v>templates/index.html; static/css/platform.css</x:v>
      </x:c>
      <x:c r="J5" s="24" t="str">
        <x:v>TC-02</x:v>
      </x:c>
      <x:c r="K5" s="24" t="str">
        <x:v>Chưa nghiệm thu</x:v>
      </x:c>
      <x:c r="L5" s="24" t="str"/>
    </x:row>
    <x:row r="6" ht="44" customHeight="1">
      <x:c r="A6" s="28" t="str">
        <x:v>FR-PUB-02</x:v>
      </x:c>
      <x:c r="B6" s="28" t="str">
        <x:v>PUBLIC</x:v>
      </x:c>
      <x:c r="C6" s="28" t="str">
        <x:v>P0</x:v>
      </x:c>
      <x:c r="D6" s="28" t="str">
        <x:v>Điều hướng công khai sang tài khoản</x:v>
      </x:c>
      <x:c r="E6" s="28" t="str">
        <x:v>Có code</x:v>
      </x:c>
      <x:c r="F6" s="28" t="str">
        <x:v>Chưa E2E</x:v>
      </x:c>
      <x:c r="G6" s="28" t="str">
        <x:v>Huy</x:v>
      </x:c>
      <x:c r="H6" s="28" t="str">
        <x:v>Liên kết Đăng nhập/Đăng ký hoạt động; khách không thấy menu riêng tư.</x:v>
      </x:c>
      <x:c r="I6" s="28" t="str">
        <x:v>templates/index.html; templates/base.html</x:v>
      </x:c>
      <x:c r="J6" s="28" t="str">
        <x:v>Bổ sung manual QA</x:v>
      </x:c>
      <x:c r="K6" s="28" t="str">
        <x:v>Chưa nghiệm thu</x:v>
      </x:c>
      <x:c r="L6" s="28" t="str"/>
    </x:row>
    <x:row r="7" ht="44" customHeight="1">
      <x:c r="A7" s="24" t="str">
        <x:v>FR-PUB-03</x:v>
      </x:c>
      <x:c r="B7" s="24" t="str">
        <x:v>PUBLIC</x:v>
      </x:c>
      <x:c r="C7" s="24" t="str">
        <x:v>P1</x:v>
      </x:c>
      <x:c r="D7" s="24" t="str">
        <x:v>Giao diện landing tiếng Việt/Anh</x:v>
      </x:c>
      <x:c r="E7" s="24" t="str">
        <x:v>Có code</x:v>
      </x:c>
      <x:c r="F7" s="24" t="str">
        <x:v>Render template offline</x:v>
      </x:c>
      <x:c r="G7" s="24" t="str">
        <x:v>Huy</x:v>
      </x:c>
      <x:c r="H7" s="24" t="str">
        <x:v>Đổi VI/EN trên landing, refresh vẫn đúng ngôn ngữ theo cookie guest.</x:v>
      </x:c>
      <x:c r="I7" s="24" t="str">
        <x:v>src/i18n.py; app.py; templates/index.html</x:v>
      </x:c>
      <x:c r="J7" s="24" t="str">
        <x:v>Bổ sung manual QA</x:v>
      </x:c>
      <x:c r="K7" s="24" t="str">
        <x:v>Chưa nghiệm thu</x:v>
      </x:c>
      <x:c r="L7" s="24" t="str"/>
    </x:row>
    <x:row r="8" ht="44" customHeight="1">
      <x:c r="A8" s="28" t="str">
        <x:v>FR-PUB-04</x:v>
      </x:c>
      <x:c r="B8" s="28" t="str">
        <x:v>PUBLIC</x:v>
      </x:c>
      <x:c r="C8" s="28" t="str">
        <x:v>P0</x:v>
      </x:c>
      <x:c r="D8" s="28" t="str">
        <x:v>Empty state và nội dung trung thực</x:v>
      </x:c>
      <x:c r="E8" s="28" t="str">
        <x:v>Có code</x:v>
      </x:c>
      <x:c r="F8" s="28" t="str">
        <x:v>Chưa E2E</x:v>
      </x:c>
      <x:c r="G8" s="28" t="str">
        <x:v>Huy</x:v>
      </x:c>
      <x:c r="H8" s="28" t="str">
        <x:v>Khi DB rỗng, không trình bày sách mẫu như dữ liệu đã crawl.</x:v>
      </x:c>
      <x:c r="I8" s="28" t="str">
        <x:v>templates/dashboard.html; templates/books.html; static/js/dashboard.js</x:v>
      </x:c>
      <x:c r="J8" s="28" t="str">
        <x:v>Bổ sung manual QA</x:v>
      </x:c>
      <x:c r="K8" s="28" t="str">
        <x:v>Chưa nghiệm thu</x:v>
      </x:c>
      <x:c r="L8" s="28" t="str"/>
    </x:row>
    <x:row r="9" ht="44" customHeight="1">
      <x:c r="A9" s="24" t="str">
        <x:v>FR-AUT-01</x:v>
      </x:c>
      <x:c r="B9" s="24" t="str">
        <x:v>IDENTITY</x:v>
      </x:c>
      <x:c r="C9" s="24" t="str">
        <x:v>P0</x:v>
      </x:c>
      <x:c r="D9" s="24" t="str">
        <x:v>Đăng ký người dùng</x:v>
      </x:c>
      <x:c r="E9" s="24" t="str">
        <x:v>Có code</x:v>
      </x:c>
      <x:c r="F9" s="24" t="str">
        <x:v>Unit DB đạt; HTTP cần QA</x:v>
      </x:c>
      <x:c r="G9" s="24" t="str">
        <x:v>Duy</x:v>
      </x:c>
      <x:c r="H9" s="24" t="str">
        <x:v>Email hợp lệ và duy nhất; password đúng policy; tạo users + user_preferences, đăng nhập ngay.</x:v>
      </x:c>
      <x:c r="I9" s="24" t="str">
        <x:v>src/web/auth.py; src/database/accounts.py</x:v>
      </x:c>
      <x:c r="J9" s="24" t="str">
        <x:v>TC-03, TC-04</x:v>
      </x:c>
      <x:c r="K9" s="24" t="str">
        <x:v>Chưa nghiệm thu</x:v>
      </x:c>
      <x:c r="L9" s="24" t="str"/>
    </x:row>
    <x:row r="10" ht="44" customHeight="1">
      <x:c r="A10" s="28" t="str">
        <x:v>FR-AUT-02</x:v>
      </x:c>
      <x:c r="B10" s="28" t="str">
        <x:v>IDENTITY</x:v>
      </x:c>
      <x:c r="C10" s="28" t="str">
        <x:v>P0</x:v>
      </x:c>
      <x:c r="D10" s="28" t="str">
        <x:v>Đăng nhập bằng email/mật khẩu</x:v>
      </x:c>
      <x:c r="E10" s="28" t="str">
        <x:v>Có code</x:v>
      </x:c>
      <x:c r="F10" s="28" t="str">
        <x:v>Unit DB đạt; HTTP cần QA</x:v>
      </x:c>
      <x:c r="G10" s="28" t="str">
        <x:v>Duy</x:v>
      </x:c>
      <x:c r="H10" s="28" t="str">
        <x:v>Thông tin đúng tạo signed session; sai trả 401, không rò user tồn tại.</x:v>
      </x:c>
      <x:c r="I10" s="28" t="str">
        <x:v>src/web/auth.py; src/web/security.py</x:v>
      </x:c>
      <x:c r="J10" s="28" t="str">
        <x:v>TC-05</x:v>
      </x:c>
      <x:c r="K10" s="28" t="str">
        <x:v>Chưa nghiệm thu</x:v>
      </x:c>
      <x:c r="L10" s="28" t="str"/>
    </x:row>
    <x:row r="11" ht="44" customHeight="1">
      <x:c r="A11" s="24" t="str">
        <x:v>FR-AUT-03</x:v>
      </x:c>
      <x:c r="B11" s="24" t="str">
        <x:v>IDENTITY</x:v>
      </x:c>
      <x:c r="C11" s="24" t="str">
        <x:v>P0</x:v>
      </x:c>
      <x:c r="D11" s="24" t="str">
        <x:v>Đăng xuất an toàn</x:v>
      </x:c>
      <x:c r="E11" s="24" t="str">
        <x:v>Có code</x:v>
      </x:c>
      <x:c r="F11" s="24" t="str">
        <x:v>HTTP cần QA</x:v>
      </x:c>
      <x:c r="G11" s="24" t="str">
        <x:v>Duy</x:v>
      </x:c>
      <x:c r="H11" s="24" t="str">
        <x:v>Đăng xuất xóa session; route workspace sau logout trả redirect/401 theo loại request.</x:v>
      </x:c>
      <x:c r="I11" s="24" t="str">
        <x:v>src/web/auth.py; app.py</x:v>
      </x:c>
      <x:c r="J11" s="24" t="str">
        <x:v>TC-06</x:v>
      </x:c>
      <x:c r="K11" s="24" t="str">
        <x:v>Chưa nghiệm thu</x:v>
      </x:c>
      <x:c r="L11" s="24" t="str"/>
    </x:row>
    <x:row r="12" ht="44" customHeight="1">
      <x:c r="A12" s="28" t="str">
        <x:v>FR-AUT-04</x:v>
      </x:c>
      <x:c r="B12" s="28" t="str">
        <x:v>IDENTITY</x:v>
      </x:c>
      <x:c r="C12" s="28" t="str">
        <x:v>P0</x:v>
      </x:c>
      <x:c r="D12" s="28" t="str">
        <x:v>Quên mật khẩu bằng token</x:v>
      </x:c>
      <x:c r="E12" s="28" t="str">
        <x:v>Có code</x:v>
      </x:c>
      <x:c r="F12" s="28" t="str">
        <x:v>Unit token đạt; SMTP chưa xác minh</x:v>
      </x:c>
      <x:c r="G12" s="28" t="str">
        <x:v>Duy</x:v>
      </x:c>
      <x:c r="H12" s="28" t="str">
        <x:v>Token 20 phút, hash lưu DB, chỉ dùng một lần, link không trả ra public mặc định.</x:v>
      </x:c>
      <x:c r="I12" s="28" t="str">
        <x:v>src/web/auth.py; src/web/mail.py; src/database/accounts.py</x:v>
      </x:c>
      <x:c r="J12" s="28" t="str">
        <x:v>TC-07</x:v>
      </x:c>
      <x:c r="K12" s="28" t="str">
        <x:v>Chưa nghiệm thu</x:v>
      </x:c>
      <x:c r="L12" s="28" t="str"/>
    </x:row>
    <x:row r="13" ht="44" customHeight="1">
      <x:c r="A13" s="24" t="str">
        <x:v>FR-AUT-05</x:v>
      </x:c>
      <x:c r="B13" s="24" t="str">
        <x:v>IDENTITY</x:v>
      </x:c>
      <x:c r="C13" s="24" t="str">
        <x:v>P1</x:v>
      </x:c>
      <x:c r="D13" s="24" t="str">
        <x:v>Gửi email khôi phục qua SMTP</x:v>
      </x:c>
      <x:c r="E13" s="24" t="str">
        <x:v>Có code</x:v>
      </x:c>
      <x:c r="F13" s="24" t="str">
        <x:v>Chưa test email thật</x:v>
      </x:c>
      <x:c r="G13" s="24" t="str">
        <x:v>Duy</x:v>
      </x:c>
      <x:c r="H13" s="24" t="str">
        <x:v>SMTP TLS theo .env, test email thực và lỗi cấu hình được thông báo rõ.</x:v>
      </x:c>
      <x:c r="I13" s="24" t="str">
        <x:v>src/web/mail.py; .env.example</x:v>
      </x:c>
      <x:c r="J13" s="24" t="str">
        <x:v>TC-08</x:v>
      </x:c>
      <x:c r="K13" s="24" t="str">
        <x:v>Chưa nghiệm thu</x:v>
      </x:c>
      <x:c r="L13" s="24" t="str"/>
    </x:row>
    <x:row r="14" ht="44" customHeight="1">
      <x:c r="A14" s="28" t="str">
        <x:v>FR-AUT-06</x:v>
      </x:c>
      <x:c r="B14" s="28" t="str">
        <x:v>IDENTITY</x:v>
      </x:c>
      <x:c r="C14" s="28" t="str">
        <x:v>P0</x:v>
      </x:c>
      <x:c r="D14" s="28" t="str">
        <x:v>Đổi mật khẩu sau đăng nhập</x:v>
      </x:c>
      <x:c r="E14" s="28" t="str">
        <x:v>Có code</x:v>
      </x:c>
      <x:c r="F14" s="28" t="str">
        <x:v>Unit DB đạt; HTTP cần QA</x:v>
      </x:c>
      <x:c r="G14" s="28" t="str">
        <x:v>Duy</x:v>
      </x:c>
      <x:c r="H14" s="28" t="str">
        <x:v>Xác nhận mật khẩu cũ; phiên cũ mất hiệu lực; đăng nhập bằng mật khẩu mới.</x:v>
      </x:c>
      <x:c r="I14" s="28" t="str">
        <x:v>src/web/auth.py; src/database/accounts.py</x:v>
      </x:c>
      <x:c r="J14" s="28" t="str">
        <x:v>TC-09</x:v>
      </x:c>
      <x:c r="K14" s="28" t="str">
        <x:v>Chưa nghiệm thu</x:v>
      </x:c>
      <x:c r="L14" s="28" t="str"/>
    </x:row>
    <x:row r="15" ht="44" customHeight="1">
      <x:c r="A15" s="24" t="str">
        <x:v>FR-AUT-07</x:v>
      </x:c>
      <x:c r="B15" s="24" t="str">
        <x:v>IDENTITY</x:v>
      </x:c>
      <x:c r="C15" s="24" t="str">
        <x:v>P1</x:v>
      </x:c>
      <x:c r="D15" s="24" t="str">
        <x:v>Cập nhật họ tên</x:v>
      </x:c>
      <x:c r="E15" s="24" t="str">
        <x:v>Có code</x:v>
      </x:c>
      <x:c r="F15" s="24" t="str">
        <x:v>Unit DB đạt; UI cần QA</x:v>
      </x:c>
      <x:c r="G15" s="24" t="str">
        <x:v>Huy</x:v>
      </x:c>
      <x:c r="H15" s="24" t="str">
        <x:v>Tên có validate, lưu DB và cập nhật tại thanh cá nhân sau reload.</x:v>
      </x:c>
      <x:c r="I15" s="24" t="str">
        <x:v>templates/settings.html; src/web/auth.py</x:v>
      </x:c>
      <x:c r="J15" s="24" t="str">
        <x:v>Bổ sung manual QA</x:v>
      </x:c>
      <x:c r="K15" s="24" t="str">
        <x:v>Chưa nghiệm thu</x:v>
      </x:c>
      <x:c r="L15" s="24" t="str"/>
    </x:row>
    <x:row r="16" ht="44" customHeight="1">
      <x:c r="A16" s="28" t="str">
        <x:v>FR-AUT-08</x:v>
      </x:c>
      <x:c r="B16" s="28" t="str">
        <x:v>IDENTITY</x:v>
      </x:c>
      <x:c r="C16" s="28" t="str">
        <x:v>P0</x:v>
      </x:c>
      <x:c r="D16" s="28" t="str">
        <x:v>Chống brute-force theo giới hạn</x:v>
      </x:c>
      <x:c r="E16" s="28" t="str">
        <x:v>Có code</x:v>
      </x:c>
      <x:c r="F16" s="28" t="str">
        <x:v>Unit DB đạt; HTTP cần QA</x:v>
      </x:c>
      <x:c r="G16" s="28" t="str">
        <x:v>Duy</x:v>
      </x:c>
      <x:c r="H16" s="28" t="str">
        <x:v>Nhiều lần sai liên tiếp được 429; dữ liệu tracking không lưu địa chỉ email dạng rõ.</x:v>
      </x:c>
      <x:c r="I16" s="28" t="str">
        <x:v>src/database/accounts.py; src/web/auth.py</x:v>
      </x:c>
      <x:c r="J16" s="28" t="str">
        <x:v>TC-05</x:v>
      </x:c>
      <x:c r="K16" s="28" t="str">
        <x:v>Chưa nghiệm thu</x:v>
      </x:c>
      <x:c r="L16" s="28" t="str"/>
    </x:row>
    <x:row r="17" ht="44" customHeight="1">
      <x:c r="A17" s="24" t="str">
        <x:v>FR-AUT-09</x:v>
      </x:c>
      <x:c r="B17" s="24" t="str">
        <x:v>IDENTITY</x:v>
      </x:c>
      <x:c r="C17" s="24" t="str">
        <x:v>P0</x:v>
      </x:c>
      <x:c r="D17" s="24" t="str">
        <x:v>Bảo vệ route và API đăng nhập</x:v>
      </x:c>
      <x:c r="E17" s="24" t="str">
        <x:v>Có code</x:v>
      </x:c>
      <x:c r="F17" s="24" t="str">
        <x:v>Một phần unit; cần E2E</x:v>
      </x:c>
      <x:c r="G17" s="24" t="str">
        <x:v>Duy</x:v>
      </x:c>
      <x:c r="H17" s="24" t="str">
        <x:v>Guest không vào /workspace và API cá nhân; 401/redirect nhất quán.</x:v>
      </x:c>
      <x:c r="I17" s="24" t="str">
        <x:v>src/web/security.py; src/web/workspace.py</x:v>
      </x:c>
      <x:c r="J17" s="24" t="str">
        <x:v>TC-06</x:v>
      </x:c>
      <x:c r="K17" s="24" t="str">
        <x:v>Chưa nghiệm thu</x:v>
      </x:c>
      <x:c r="L17" s="24" t="str"/>
    </x:row>
    <x:row r="18" ht="44" customHeight="1">
      <x:c r="A18" s="28" t="str">
        <x:v>FR-AUT-10</x:v>
      </x:c>
      <x:c r="B18" s="28" t="str">
        <x:v>IDENTITY</x:v>
      </x:c>
      <x:c r="C18" s="28" t="str">
        <x:v>P0</x:v>
      </x:c>
      <x:c r="D18" s="28" t="str">
        <x:v>Kiểm soát phiên sau reset password</x:v>
      </x:c>
      <x:c r="E18" s="28" t="str">
        <x:v>Có code</x:v>
      </x:c>
      <x:c r="F18" s="28" t="str">
        <x:v>Unit DB đạt; multi-session cần QA</x:v>
      </x:c>
      <x:c r="G18" s="28" t="str">
        <x:v>Duy</x:v>
      </x:c>
      <x:c r="H18" s="28" t="str">
        <x:v>session_version tăng khi reset/đổi mật khẩu; phiên cũ không còn hợp lệ.</x:v>
      </x:c>
      <x:c r="I18" s="28" t="str">
        <x:v>src/database/accounts.py; app.py</x:v>
      </x:c>
      <x:c r="J18" s="28" t="str">
        <x:v>Bổ sung manual QA</x:v>
      </x:c>
      <x:c r="K18" s="28" t="str">
        <x:v>Chưa nghiệm thu</x:v>
      </x:c>
      <x:c r="L18" s="28" t="str"/>
    </x:row>
    <x:row r="19" ht="44" customHeight="1">
      <x:c r="A19" s="24" t="str">
        <x:v>FR-USR-01</x:v>
      </x:c>
      <x:c r="B19" s="24" t="str">
        <x:v>PERSONAL</x:v>
      </x:c>
      <x:c r="C19" s="24" t="str">
        <x:v>P0</x:v>
      </x:c>
      <x:c r="D19" s="24" t="str">
        <x:v>Ngôn ngữ VI/EN</x:v>
      </x:c>
      <x:c r="E19" s="24" t="str">
        <x:v>Có code</x:v>
      </x:c>
      <x:c r="F19" s="24" t="str">
        <x:v>Template offline; browser chưa QA</x:v>
      </x:c>
      <x:c r="G19" s="24" t="str">
        <x:v>Huy</x:v>
      </x:c>
      <x:c r="H19" s="24" t="str">
        <x:v>Text UI và trạng thái chính đổi đúng; tên sách/GBP giữ nguyên nguồn, không biến đổi.</x:v>
      </x:c>
      <x:c r="I19" s="24" t="str">
        <x:v>src/i18n.py; static/js/common.js; templates/*</x:v>
      </x:c>
      <x:c r="J19" s="24" t="str">
        <x:v>TC-10</x:v>
      </x:c>
      <x:c r="K19" s="24" t="str">
        <x:v>Chưa nghiệm thu</x:v>
      </x:c>
      <x:c r="L19" s="24" t="str"/>
    </x:row>
    <x:row r="20" ht="44" customHeight="1">
      <x:c r="A20" s="28" t="str">
        <x:v>FR-USR-02</x:v>
      </x:c>
      <x:c r="B20" s="28" t="str">
        <x:v>PERSONAL</x:v>
      </x:c>
      <x:c r="C20" s="28" t="str">
        <x:v>P0</x:v>
      </x:c>
      <x:c r="D20" s="28" t="str">
        <x:v>Theme light/dark/system</x:v>
      </x:c>
      <x:c r="E20" s="28" t="str">
        <x:v>Có code</x:v>
      </x:c>
      <x:c r="F20" s="28" t="str">
        <x:v>CSS/Jinja kiểm tra; browser chưa QA</x:v>
      </x:c>
      <x:c r="G20" s="28" t="str">
        <x:v>Huy</x:v>
      </x:c>
      <x:c r="H20" s="28" t="str">
        <x:v>Mỗi theme đủ tương phản, không nháy bất thường; lưu preference khi đăng nhập.</x:v>
      </x:c>
      <x:c r="I20" s="28" t="str">
        <x:v>static/css/platform.css; static/js/common.js</x:v>
      </x:c>
      <x:c r="J20" s="28" t="str">
        <x:v>TC-11</x:v>
      </x:c>
      <x:c r="K20" s="28" t="str">
        <x:v>Chưa nghiệm thu</x:v>
      </x:c>
      <x:c r="L20" s="28" t="str"/>
    </x:row>
    <x:row r="21" ht="44" customHeight="1">
      <x:c r="A21" s="24" t="str">
        <x:v>FR-USR-03</x:v>
      </x:c>
      <x:c r="B21" s="24" t="str">
        <x:v>PERSONAL</x:v>
      </x:c>
      <x:c r="C21" s="24" t="str">
        <x:v>P1</x:v>
      </x:c>
      <x:c r="D21" s="24" t="str">
        <x:v>Cài đặt cách hiển thị sách</x:v>
      </x:c>
      <x:c r="E21" s="24" t="str">
        <x:v>Có code</x:v>
      </x:c>
      <x:c r="F21" s="24" t="str">
        <x:v>Unit DB đạt; browser chưa QA</x:v>
      </x:c>
      <x:c r="G21" s="24" t="str">
        <x:v>Huy</x:v>
      </x:c>
      <x:c r="H21" s="24" t="str">
        <x:v>Đổi grid/list; reload /books giữ lựa chọn.</x:v>
      </x:c>
      <x:c r="I21" s="24" t="str">
        <x:v>templates/settings.html; static/js/books.js</x:v>
      </x:c>
      <x:c r="J21" s="24" t="str">
        <x:v>TC-12</x:v>
      </x:c>
      <x:c r="K21" s="24" t="str">
        <x:v>Chưa nghiệm thu</x:v>
      </x:c>
      <x:c r="L21" s="24" t="str"/>
    </x:row>
    <x:row r="22" ht="44" customHeight="1">
      <x:c r="A22" s="28" t="str">
        <x:v>FR-USR-04</x:v>
      </x:c>
      <x:c r="B22" s="28" t="str">
        <x:v>PERSONAL</x:v>
      </x:c>
      <x:c r="C22" s="28" t="str">
        <x:v>P0</x:v>
      </x:c>
      <x:c r="D22" s="28" t="str">
        <x:v>Lưu và khôi phục preferences</x:v>
      </x:c>
      <x:c r="E22" s="28" t="str">
        <x:v>Có code</x:v>
      </x:c>
      <x:c r="F22" s="28" t="str">
        <x:v>Unit DB đạt; HTTP chưa QA</x:v>
      </x:c>
      <x:c r="G22" s="28" t="str">
        <x:v>Duy</x:v>
      </x:c>
      <x:c r="H22" s="28" t="str">
        <x:v>locale/theme/book_layout lưu riêng user và tồn tại qua logout/login.</x:v>
      </x:c>
      <x:c r="I22" s="28" t="str">
        <x:v>src/database/accounts.py; src/web/auth.py</x:v>
      </x:c>
      <x:c r="J22" s="28" t="str">
        <x:v>TC-12</x:v>
      </x:c>
      <x:c r="K22" s="28" t="str">
        <x:v>Chưa nghiệm thu</x:v>
      </x:c>
      <x:c r="L22" s="28" t="str"/>
    </x:row>
    <x:row r="23" ht="44" customHeight="1">
      <x:c r="A23" s="24" t="str">
        <x:v>FR-USR-05</x:v>
      </x:c>
      <x:c r="B23" s="24" t="str">
        <x:v>PERSONAL</x:v>
      </x:c>
      <x:c r="C23" s="24" t="str">
        <x:v>P0</x:v>
      </x:c>
      <x:c r="D23" s="24" t="str">
        <x:v>Cách ly dữ liệu cá nhân nhiều tài khoản</x:v>
      </x:c>
      <x:c r="E23" s="24" t="str">
        <x:v>Có code</x:v>
      </x:c>
      <x:c r="F23" s="24" t="str">
        <x:v>Unit DB đạt; HTTP chưa QA</x:v>
      </x:c>
      <x:c r="G23" s="24" t="str">
        <x:v>Duy</x:v>
      </x:c>
      <x:c r="H23" s="24" t="str">
        <x:v>User B không thấy bookmarks/searches/job của user A qua URL hoặc API.</x:v>
      </x:c>
      <x:c r="I23" s="24" t="str">
        <x:v>src/web/workspace.py; src/database/accounts.py</x:v>
      </x:c>
      <x:c r="J23" s="24" t="str">
        <x:v>TC-13</x:v>
      </x:c>
      <x:c r="K23" s="24" t="str">
        <x:v>Chưa nghiệm thu</x:v>
      </x:c>
      <x:c r="L23" s="24" t="str"/>
    </x:row>
    <x:row r="24" ht="44" customHeight="1">
      <x:c r="A24" s="28" t="str">
        <x:v>FR-CRW-01</x:v>
      </x:c>
      <x:c r="B24" s="28" t="str">
        <x:v>CRAWLER</x:v>
      </x:c>
      <x:c r="C24" s="28" t="str">
        <x:v>P0</x:v>
      </x:c>
      <x:c r="D24" s="28" t="str">
        <x:v>Khởi tạo crawl job có chủ sở hữu</x:v>
      </x:c>
      <x:c r="E24" s="28" t="str">
        <x:v>Có code</x:v>
      </x:c>
      <x:c r="F24" s="28" t="str">
        <x:v>DB unit đạt; live chưa QA</x:v>
      </x:c>
      <x:c r="G24" s="28" t="str">
        <x:v>Duy</x:v>
      </x:c>
      <x:c r="H24" s="28" t="str">
        <x:v>POST /api/jobs tạo job user_id đúng, 202; không chạy crawler trong HTTP request.</x:v>
      </x:c>
      <x:c r="I24" s="28" t="str">
        <x:v>app.py; src/database/jobs.py</x:v>
      </x:c>
      <x:c r="J24" s="28" t="str">
        <x:v>TC-14</x:v>
      </x:c>
      <x:c r="K24" s="28" t="str">
        <x:v>Chưa nghiệm thu</x:v>
      </x:c>
      <x:c r="L24" s="28" t="str"/>
    </x:row>
    <x:row r="25" ht="44" customHeight="1">
      <x:c r="A25" s="24" t="str">
        <x:v>FR-CRW-02</x:v>
      </x:c>
      <x:c r="B25" s="24" t="str">
        <x:v>CRAWLER</x:v>
      </x:c>
      <x:c r="C25" s="24" t="str">
        <x:v>P0</x:v>
      </x:c>
      <x:c r="D25" s="24" t="str">
        <x:v>Giới hạn 1–3 trang danh sách</x:v>
      </x:c>
      <x:c r="E25" s="24" t="str">
        <x:v>Có code</x:v>
      </x:c>
      <x:c r="F25" s="24" t="str">
        <x:v>Unit đạt; live chưa QA</x:v>
      </x:c>
      <x:c r="G25" s="24" t="str">
        <x:v>Quý</x:v>
      </x:c>
      <x:c r="H25" s="24" t="str">
        <x:v>Chỉ nhận int 1,2,3; 0/4/chuỗi bị 400; số trang != số request.</x:v>
      </x:c>
      <x:c r="I25" s="24" t="str">
        <x:v>app.py; crawler/spiders/books_spider.py</x:v>
      </x:c>
      <x:c r="J25" s="24" t="str">
        <x:v>TC-14</x:v>
      </x:c>
      <x:c r="K25" s="24" t="str">
        <x:v>Chưa nghiệm thu</x:v>
      </x:c>
      <x:c r="L25" s="24" t="str"/>
    </x:row>
    <x:row r="26" ht="44" customHeight="1">
      <x:c r="A26" s="28" t="str">
        <x:v>FR-CRW-03</x:v>
      </x:c>
      <x:c r="B26" s="28" t="str">
        <x:v>CRAWLER</x:v>
      </x:c>
      <x:c r="C26" s="28" t="str">
        <x:v>P0</x:v>
      </x:c>
      <x:c r="D26" s="28" t="str">
        <x:v>Một job hoạt động toàn hệ thống</x:v>
      </x:c>
      <x:c r="E26" s="28" t="str">
        <x:v>Có code</x:v>
      </x:c>
      <x:c r="F26" s="28" t="str">
        <x:v>SQLite index/unit đạt</x:v>
      </x:c>
      <x:c r="G26" s="28" t="str">
        <x:v>Duy</x:v>
      </x:c>
      <x:c r="H26" s="28" t="str">
        <x:v>Job thứ hai khi PENDING/RUNNING bị 409; không tạo hai worker đồng thời.</x:v>
      </x:c>
      <x:c r="I26" s="28" t="str">
        <x:v>database/migrations/002_indexes.sql; src/database/jobs.py</x:v>
      </x:c>
      <x:c r="J26" s="28" t="str">
        <x:v>TC-15</x:v>
      </x:c>
      <x:c r="K26" s="28" t="str">
        <x:v>Chưa nghiệm thu</x:v>
      </x:c>
      <x:c r="L26" s="28" t="str"/>
    </x:row>
    <x:row r="27" ht="44" customHeight="1">
      <x:c r="A27" s="24" t="str">
        <x:v>FR-CRW-04</x:v>
      </x:c>
      <x:c r="B27" s="24" t="str">
        <x:v>CRAWLER</x:v>
      </x:c>
      <x:c r="C27" s="24" t="str">
        <x:v>P0</x:v>
      </x:c>
      <x:c r="D27" s="24" t="str">
        <x:v>Crawler chỉ truy cập nguồn được phép</x:v>
      </x:c>
      <x:c r="E27" s="24" t="str">
        <x:v>Có code</x:v>
      </x:c>
      <x:c r="F27" s="24" t="str">
        <x:v>Parser/policy unit; live chưa QA</x:v>
      </x:c>
      <x:c r="G27" s="24" t="str">
        <x:v>Quý</x:v>
      </x:c>
      <x:c r="H27" s="24" t="str">
        <x:v>Từ chối host không thuộc books.toscrape.com; không nhận URL tùy ý.</x:v>
      </x:c>
      <x:c r="I27" s="24" t="str">
        <x:v>crawler/spiders/books_spider.py; crawler/parser.py</x:v>
      </x:c>
      <x:c r="J27" s="24" t="str">
        <x:v>TC-18</x:v>
      </x:c>
      <x:c r="K27" s="24" t="str">
        <x:v>Chưa nghiệm thu</x:v>
      </x:c>
      <x:c r="L27" s="24" t="str"/>
    </x:row>
    <x:row r="28" ht="44" customHeight="1">
      <x:c r="A28" s="28" t="str">
        <x:v>FR-CRW-05</x:v>
      </x:c>
      <x:c r="B28" s="28" t="str">
        <x:v>CRAWLER</x:v>
      </x:c>
      <x:c r="C28" s="28" t="str">
        <x:v>P0</x:v>
      </x:c>
      <x:c r="D28" s="28" t="str">
        <x:v>Duyệt catalogue và next-page</x:v>
      </x:c>
      <x:c r="E28" s="28" t="str">
        <x:v>Có code</x:v>
      </x:c>
      <x:c r="F28" s="28" t="str">
        <x:v>Spider test bị skip; live chưa QA</x:v>
      </x:c>
      <x:c r="G28" s="28" t="str">
        <x:v>Quý</x:v>
      </x:c>
      <x:c r="H28" s="28" t="str">
        <x:v>max_pages=2 ghi crawl_pages cho page 1,2; next URL đúng domain/path.</x:v>
      </x:c>
      <x:c r="I28" s="28" t="str">
        <x:v>crawler/spiders/books_spider.py</x:v>
      </x:c>
      <x:c r="J28" s="28" t="str">
        <x:v>TC-16</x:v>
      </x:c>
      <x:c r="K28" s="28" t="str">
        <x:v>Chưa nghiệm thu</x:v>
      </x:c>
      <x:c r="L28" s="28" t="str"/>
    </x:row>
    <x:row r="29" ht="44" customHeight="1">
      <x:c r="A29" s="24" t="str">
        <x:v>FR-CRW-06</x:v>
      </x:c>
      <x:c r="B29" s="24" t="str">
        <x:v>CRAWLER</x:v>
      </x:c>
      <x:c r="C29" s="24" t="str">
        <x:v>P0</x:v>
      </x:c>
      <x:c r="D29" s="24" t="str">
        <x:v>Truy xuất từng trang chi tiết sách</x:v>
      </x:c>
      <x:c r="E29" s="24" t="str">
        <x:v>Có code</x:v>
      </x:c>
      <x:c r="F29" s="24" t="str">
        <x:v>Parser fixture đạt; live chưa QA</x:v>
      </x:c>
      <x:c r="G29" s="24" t="str">
        <x:v>Quý</x:v>
      </x:c>
      <x:c r="H29" s="24" t="str">
        <x:v>Lấy title, rating, price, category, stock, URL; option UPC/image.</x:v>
      </x:c>
      <x:c r="I29" s="24" t="str">
        <x:v>crawler/parser.py; crawler/spiders/books_spider.py</x:v>
      </x:c>
      <x:c r="J29" s="24" t="str">
        <x:v>TC-17</x:v>
      </x:c>
      <x:c r="K29" s="24" t="str">
        <x:v>Chưa nghiệm thu</x:v>
      </x:c>
      <x:c r="L29" s="24" t="str"/>
    </x:row>
    <x:row r="30" ht="44" customHeight="1">
      <x:c r="A30" s="28" t="str">
        <x:v>FR-CRW-07</x:v>
      </x:c>
      <x:c r="B30" s="28" t="str">
        <x:v>CRAWLER</x:v>
      </x:c>
      <x:c r="C30" s="28" t="str">
        <x:v>P0</x:v>
      </x:c>
      <x:c r="D30" s="28" t="str">
        <x:v>Tuân thủ robots và giảm tải nguồn</x:v>
      </x:c>
      <x:c r="E30" s="28" t="str">
        <x:v>Có code</x:v>
      </x:c>
      <x:c r="F30" s="28" t="str">
        <x:v>Settings unit; live cần QA</x:v>
      </x:c>
      <x:c r="G30" s="28" t="str">
        <x:v>Quý</x:v>
      </x:c>
      <x:c r="H30" s="28" t="str">
        <x:v>ROBOTSTXT_OBEY bật; delay/concurrency/timeout phù hợp và có minh chứng log.</x:v>
      </x:c>
      <x:c r="I30" s="28" t="str">
        <x:v>crawler/settings.py</x:v>
      </x:c>
      <x:c r="J30" s="28" t="str">
        <x:v>TC-18</x:v>
      </x:c>
      <x:c r="K30" s="28" t="str">
        <x:v>Chưa nghiệm thu</x:v>
      </x:c>
      <x:c r="L30" s="28" t="str"/>
    </x:row>
    <x:row r="31" ht="44" customHeight="1">
      <x:c r="A31" s="24" t="str">
        <x:v>FR-CRW-08</x:v>
      </x:c>
      <x:c r="B31" s="24" t="str">
        <x:v>CRAWLER</x:v>
      </x:c>
      <x:c r="C31" s="24" t="str">
        <x:v>P0</x:v>
      </x:c>
      <x:c r="D31" s="24" t="str">
        <x:v>Chống trùng và upsert bản ghi</x:v>
      </x:c>
      <x:c r="E31" s="24" t="str">
        <x:v>Có code</x:v>
      </x:c>
      <x:c r="F31" s="24" t="str">
        <x:v>DB unit đạt; live chưa QA</x:v>
      </x:c>
      <x:c r="G31" s="24" t="str">
        <x:v>Quý</x:v>
      </x:c>
      <x:c r="H31" s="24" t="str">
        <x:v>Recrawl cùng URL không tạo sách mới, phân biệt NEW/UPDATED/UNCHANGED.</x:v>
      </x:c>
      <x:c r="I31" s="24" t="str">
        <x:v>src/database/books.py; crawler/pipelines.py</x:v>
      </x:c>
      <x:c r="J31" s="24" t="str">
        <x:v>TC-19</x:v>
      </x:c>
      <x:c r="K31" s="24" t="str">
        <x:v>Chưa nghiệm thu</x:v>
      </x:c>
      <x:c r="L31" s="24" t="str"/>
    </x:row>
    <x:row r="32" ht="44" customHeight="1">
      <x:c r="A32" s="28" t="str">
        <x:v>FR-CRW-09</x:v>
      </x:c>
      <x:c r="B32" s="28" t="str">
        <x:v>CRAWLER</x:v>
      </x:c>
      <x:c r="C32" s="28" t="str">
        <x:v>P0</x:v>
      </x:c>
      <x:c r="D32" s="28" t="str">
        <x:v>Nhật ký job và số liệu tiến độ</x:v>
      </x:c>
      <x:c r="E32" s="28" t="str">
        <x:v>Có code</x:v>
      </x:c>
      <x:c r="F32" s="28" t="str">
        <x:v>DB unit đạt; UI cần QA</x:v>
      </x:c>
      <x:c r="G32" s="28" t="str">
        <x:v>Duy</x:v>
      </x:c>
      <x:c r="H32" s="28" t="str">
        <x:v>PENDING→RUNNING→COMPLETED/FAILED, logs, counters và lỗi cuối có thể truy vấn.</x:v>
      </x:c>
      <x:c r="I32" s="28" t="str">
        <x:v>src/database/jobs.py; crawler/run_job.py</x:v>
      </x:c>
      <x:c r="J32" s="28" t="str">
        <x:v>TC-22</x:v>
      </x:c>
      <x:c r="K32" s="28" t="str">
        <x:v>Chưa nghiệm thu</x:v>
      </x:c>
      <x:c r="L32" s="28" t="str"/>
    </x:row>
    <x:row r="33" ht="44" customHeight="1">
      <x:c r="A33" s="24" t="str">
        <x:v>FR-CRW-10</x:v>
      </x:c>
      <x:c r="B33" s="24" t="str">
        <x:v>CRAWLER</x:v>
      </x:c>
      <x:c r="C33" s="24" t="str">
        <x:v>P0</x:v>
      </x:c>
      <x:c r="D33" s="24" t="str">
        <x:v>Theo dõi job với polling</x:v>
      </x:c>
      <x:c r="E33" s="24" t="str">
        <x:v>Có code</x:v>
      </x:c>
      <x:c r="F33" s="24" t="str">
        <x:v>HTTP/browser chưa QA</x:v>
      </x:c>
      <x:c r="G33" s="24" t="str">
        <x:v>Huy</x:v>
      </x:c>
      <x:c r="H33" s="24" t="str">
        <x:v>Poll mỗi 2 giây khi active, dừng ở trạng thái cuối; reload không tạo job mới.</x:v>
      </x:c>
      <x:c r="I33" s="24" t="str">
        <x:v>static/js/dashboard.js; templates/dashboard.html</x:v>
      </x:c>
      <x:c r="J33" s="24" t="str">
        <x:v>TC-22</x:v>
      </x:c>
      <x:c r="K33" s="24" t="str">
        <x:v>Chưa nghiệm thu</x:v>
      </x:c>
      <x:c r="L33" s="24" t="str"/>
    </x:row>
    <x:row r="34" ht="44" customHeight="1">
      <x:c r="A34" s="28" t="str">
        <x:v>FR-CRW-11</x:v>
      </x:c>
      <x:c r="B34" s="28" t="str">
        <x:v>CRAWLER</x:v>
      </x:c>
      <x:c r="C34" s="28" t="str">
        <x:v>P0</x:v>
      </x:c>
      <x:c r="D34" s="28" t="str">
        <x:v>Xử lý hỏng request / lỗi parse</x:v>
      </x:c>
      <x:c r="E34" s="28" t="str">
        <x:v>Có code</x:v>
      </x:c>
      <x:c r="F34" s="28" t="str">
        <x:v>Một phần unit; live lỗi chưa QA</x:v>
      </x:c>
      <x:c r="G34" s="28" t="str">
        <x:v>Quý</x:v>
      </x:c>
      <x:c r="H34" s="28" t="str">
        <x:v>Không ghi dữ liệu thiếu trường bắt buộc; job ghi lỗi và trạng thái cuối phản ánh kết quả.</x:v>
      </x:c>
      <x:c r="I34" s="28" t="str">
        <x:v>crawler/spiders/books_spider.py; crawler/run_job.py</x:v>
      </x:c>
      <x:c r="J34" s="28" t="str">
        <x:v>TC-20</x:v>
      </x:c>
      <x:c r="K34" s="28" t="str">
        <x:v>Chưa nghiệm thu</x:v>
      </x:c>
      <x:c r="L34" s="28" t="str"/>
    </x:row>
    <x:row r="35" ht="44" customHeight="1">
      <x:c r="A35" s="24" t="str">
        <x:v>FR-CRW-12</x:v>
      </x:c>
      <x:c r="B35" s="24" t="str">
        <x:v>CRAWLER</x:v>
      </x:c>
      <x:c r="C35" s="24" t="str">
        <x:v>P1</x:v>
      </x:c>
      <x:c r="D35" s="24" t="str">
        <x:v>Khôi phục job bị treo</x:v>
      </x:c>
      <x:c r="E35" s="24" t="str">
        <x:v>Có code hỗ trợ</x:v>
      </x:c>
      <x:c r="F35" s="24" t="str">
        <x:v>Chưa chạy tình huống kill process</x:v>
      </x:c>
      <x:c r="G35" s="24" t="str">
        <x:v>Duy</x:v>
      </x:c>
      <x:c r="H35" s="24" t="str">
        <x:v>Có hướng dẫn/manual recovery khi worker chết; không ngầm báo job thành công.</x:v>
      </x:c>
      <x:c r="I35" s="24" t="str">
        <x:v>src/recover_job.py; README.md</x:v>
      </x:c>
      <x:c r="J35" s="24" t="str">
        <x:v>TC-21</x:v>
      </x:c>
      <x:c r="K35" s="24" t="str">
        <x:v>Chưa nghiệm thu</x:v>
      </x:c>
      <x:c r="L35" s="24" t="str"/>
    </x:row>
    <x:row r="36" ht="44" customHeight="1">
      <x:c r="A36" s="28" t="str">
        <x:v>FR-BOO-01</x:v>
      </x:c>
      <x:c r="B36" s="28" t="str">
        <x:v>BOOKS</x:v>
      </x:c>
      <x:c r="C36" s="28" t="str">
        <x:v>P0</x:v>
      </x:c>
      <x:c r="D36" s="28" t="str">
        <x:v>Danh sách sách thật, có phân trang</x:v>
      </x:c>
      <x:c r="E36" s="28" t="str">
        <x:v>Có code</x:v>
      </x:c>
      <x:c r="F36" s="28" t="str">
        <x:v>DB unit đạt; browser chưa QA</x:v>
      </x:c>
      <x:c r="G36" s="28" t="str">
        <x:v>Huy</x:v>
      </x:c>
      <x:c r="H36" s="28" t="str">
        <x:v>Books lấy API/DB, không fixture trong production, loading/rỗng/lỗi đúng.</x:v>
      </x:c>
      <x:c r="I36" s="28" t="str">
        <x:v>static/js/books.js; templates/books.html</x:v>
      </x:c>
      <x:c r="J36" s="28" t="str">
        <x:v>TC-23</x:v>
      </x:c>
      <x:c r="K36" s="28" t="str">
        <x:v>Chưa nghiệm thu</x:v>
      </x:c>
      <x:c r="L36" s="28" t="str"/>
    </x:row>
    <x:row r="37" ht="44" customHeight="1">
      <x:c r="A37" s="24" t="str">
        <x:v>FR-BOO-02</x:v>
      </x:c>
      <x:c r="B37" s="24" t="str">
        <x:v>BOOKS</x:v>
      </x:c>
      <x:c r="C37" s="24" t="str">
        <x:v>P0</x:v>
      </x:c>
      <x:c r="D37" s="24" t="str">
        <x:v>Tìm kiếm sách theo tên</x:v>
      </x:c>
      <x:c r="E37" s="24" t="str">
        <x:v>Có code</x:v>
      </x:c>
      <x:c r="F37" s="24" t="str">
        <x:v>DB unit đạt; HTTP cần QA</x:v>
      </x:c>
      <x:c r="G37" s="24" t="str">
        <x:v>Huy</x:v>
      </x:c>
      <x:c r="H37" s="24" t="str">
        <x:v>Từ khóa lọc theo tên, phân trang và tổng số kết quả chính xác.</x:v>
      </x:c>
      <x:c r="I37" s="24" t="str">
        <x:v>src/database/books.py; src/web/workspace.py</x:v>
      </x:c>
      <x:c r="J37" s="24" t="str">
        <x:v>TC-23</x:v>
      </x:c>
      <x:c r="K37" s="24" t="str">
        <x:v>Chưa nghiệm thu</x:v>
      </x:c>
      <x:c r="L37" s="24" t="str"/>
    </x:row>
    <x:row r="38" ht="44" customHeight="1">
      <x:c r="A38" s="28" t="str">
        <x:v>FR-BOO-03</x:v>
      </x:c>
      <x:c r="B38" s="28" t="str">
        <x:v>BOOKS</x:v>
      </x:c>
      <x:c r="C38" s="28" t="str">
        <x:v>P0</x:v>
      </x:c>
      <x:c r="D38" s="28" t="str">
        <x:v>Lọc khoảng giá GBP</x:v>
      </x:c>
      <x:c r="E38" s="28" t="str">
        <x:v>Có code</x:v>
      </x:c>
      <x:c r="F38" s="28" t="str">
        <x:v>DB unit đạt; UI cần QA</x:v>
      </x:c>
      <x:c r="G38" s="28" t="str">
        <x:v>Huy</x:v>
      </x:c>
      <x:c r="H38" s="28" t="str">
        <x:v>Giá nhập GBP; min&lt;=max; backend tính pence tránh lỗi float.</x:v>
      </x:c>
      <x:c r="I38" s="28" t="str">
        <x:v>src/database/books.py; static/js/books.js</x:v>
      </x:c>
      <x:c r="J38" s="28" t="str">
        <x:v>TC-24</x:v>
      </x:c>
      <x:c r="K38" s="28" t="str">
        <x:v>Chưa nghiệm thu</x:v>
      </x:c>
      <x:c r="L38" s="28" t="str"/>
    </x:row>
    <x:row r="39" ht="44" customHeight="1">
      <x:c r="A39" s="24" t="str">
        <x:v>FR-BOO-04</x:v>
      </x:c>
      <x:c r="B39" s="24" t="str">
        <x:v>BOOKS</x:v>
      </x:c>
      <x:c r="C39" s="24" t="str">
        <x:v>P1</x:v>
      </x:c>
      <x:c r="D39" s="24" t="str">
        <x:v>Xem chi tiết và lịch sử giá</x:v>
      </x:c>
      <x:c r="E39" s="24" t="str">
        <x:v>Có code</x:v>
      </x:c>
      <x:c r="F39" s="24" t="str">
        <x:v>DB unit; browser chưa QA</x:v>
      </x:c>
      <x:c r="G39" s="24" t="str">
        <x:v>Huy</x:v>
      </x:c>
      <x:c r="H39" s="24" t="str">
        <x:v>Chi tiết từ v_books_detail; price history hiển thị rỗng nếu chưa đổi giá.</x:v>
      </x:c>
      <x:c r="I39" s="24" t="str">
        <x:v>src/web/workspace.py; static/js/books.js</x:v>
      </x:c>
      <x:c r="J39" s="24" t="str">
        <x:v>TC-25</x:v>
      </x:c>
      <x:c r="K39" s="24" t="str">
        <x:v>Chưa nghiệm thu</x:v>
      </x:c>
      <x:c r="L39" s="24" t="str"/>
    </x:row>
    <x:row r="40" ht="44" customHeight="1">
      <x:c r="A40" s="28" t="str">
        <x:v>FR-BOO-05</x:v>
      </x:c>
      <x:c r="B40" s="28" t="str">
        <x:v>BOOKS</x:v>
      </x:c>
      <x:c r="C40" s="28" t="str">
        <x:v>P0</x:v>
      </x:c>
      <x:c r="D40" s="28" t="str">
        <x:v>Lưu / bỏ lưu sách theo user</x:v>
      </x:c>
      <x:c r="E40" s="28" t="str">
        <x:v>Có code</x:v>
      </x:c>
      <x:c r="F40" s="28" t="str">
        <x:v>Unit cách ly đạt; UI chưa QA</x:v>
      </x:c>
      <x:c r="G40" s="28" t="str">
        <x:v>Duy</x:v>
      </x:c>
      <x:c r="H40" s="28" t="str">
        <x:v>Bookmark không trùng; user B không xóa bookmark của A.</x:v>
      </x:c>
      <x:c r="I40" s="28" t="str">
        <x:v>src/database/accounts.py; src/web/workspace.py</x:v>
      </x:c>
      <x:c r="J40" s="28" t="str">
        <x:v>TC-26</x:v>
      </x:c>
      <x:c r="K40" s="28" t="str">
        <x:v>Chưa nghiệm thu</x:v>
      </x:c>
      <x:c r="L40" s="28" t="str"/>
    </x:row>
    <x:row r="41" ht="44" customHeight="1">
      <x:c r="A41" s="24" t="str">
        <x:v>FR-BOO-06</x:v>
      </x:c>
      <x:c r="B41" s="24" t="str">
        <x:v>BOOKS</x:v>
      </x:c>
      <x:c r="C41" s="24" t="str">
        <x:v>P1</x:v>
      </x:c>
      <x:c r="D41" s="24" t="str">
        <x:v>Trang Sách đã lưu</x:v>
      </x:c>
      <x:c r="E41" s="24" t="str">
        <x:v>Có code</x:v>
      </x:c>
      <x:c r="F41" s="24" t="str">
        <x:v>Template; browser chưa QA</x:v>
      </x:c>
      <x:c r="G41" s="24" t="str">
        <x:v>Huy</x:v>
      </x:c>
      <x:c r="H41" s="24" t="str">
        <x:v>Hiển thị đúng bookmark của user với empty state và phân trang.</x:v>
      </x:c>
      <x:c r="I41" s="24" t="str">
        <x:v>templates/saved.html; static/js/workspace-pages.js</x:v>
      </x:c>
      <x:c r="J41" s="24" t="str">
        <x:v>TC-26</x:v>
      </x:c>
      <x:c r="K41" s="24" t="str">
        <x:v>Chưa nghiệm thu</x:v>
      </x:c>
      <x:c r="L41" s="24" t="str"/>
    </x:row>
    <x:row r="42" ht="44" customHeight="1">
      <x:c r="A42" s="28" t="str">
        <x:v>FR-BOO-07</x:v>
      </x:c>
      <x:c r="B42" s="28" t="str">
        <x:v>BOOKS</x:v>
      </x:c>
      <x:c r="C42" s="28" t="str">
        <x:v>P1</x:v>
      </x:c>
      <x:c r="D42" s="28" t="str">
        <x:v>Lưu bộ lọc tìm kiếm cá nhân</x:v>
      </x:c>
      <x:c r="E42" s="28" t="str">
        <x:v>Có code</x:v>
      </x:c>
      <x:c r="F42" s="28" t="str">
        <x:v>Unit DB đạt; UI chưa QA</x:v>
      </x:c>
      <x:c r="G42" s="28" t="str">
        <x:v>Huy</x:v>
      </x:c>
      <x:c r="H42" s="28" t="str">
        <x:v>Đặt tên bộ lọc, load/xóa riêng tài khoản; xác thực khoảng giá.</x:v>
      </x:c>
      <x:c r="I42" s="28" t="str">
        <x:v>static/js/books.js; src/database/accounts.py</x:v>
      </x:c>
      <x:c r="J42" s="28" t="str">
        <x:v>TC-27</x:v>
      </x:c>
      <x:c r="K42" s="28" t="str">
        <x:v>Chưa nghiệm thu</x:v>
      </x:c>
      <x:c r="L42" s="28" t="str"/>
    </x:row>
    <x:row r="43" ht="44" customHeight="1">
      <x:c r="A43" s="24" t="str">
        <x:v>FR-BOO-08</x:v>
      </x:c>
      <x:c r="B43" s="24" t="str">
        <x:v>BOOKS</x:v>
      </x:c>
      <x:c r="C43" s="24" t="str">
        <x:v>P1</x:v>
      </x:c>
      <x:c r="D43" s="24" t="str">
        <x:v>Xuất CSV Unicode</x:v>
      </x:c>
      <x:c r="E43" s="24" t="str">
        <x:v>Có code</x:v>
      </x:c>
      <x:c r="F43" s="24" t="str">
        <x:v>HTTP test bị skip</x:v>
      </x:c>
      <x:c r="G43" s="24" t="str">
        <x:v>Duy</x:v>
      </x:c>
      <x:c r="H43" s="24" t="str">
        <x:v>CSV dùng BOM UTF-8; cột đúng, CSV formula injection cần review trước public.</x:v>
      </x:c>
      <x:c r="I43" s="24" t="str">
        <x:v>src/web/workspace.py</x:v>
      </x:c>
      <x:c r="J43" s="24" t="str">
        <x:v>TC-28</x:v>
      </x:c>
      <x:c r="K43" s="24" t="str">
        <x:v>Chưa nghiệm thu</x:v>
      </x:c>
      <x:c r="L43" s="24" t="str"/>
    </x:row>
    <x:row r="44" ht="44" customHeight="1">
      <x:c r="A44" s="28" t="str">
        <x:v>FR-WSP-01</x:v>
      </x:c>
      <x:c r="B44" s="28" t="str">
        <x:v>WORKSPACE</x:v>
      </x:c>
      <x:c r="C44" s="28" t="str">
        <x:v>P0</x:v>
      </x:c>
      <x:c r="D44" s="28" t="str">
        <x:v>Tổng quan KPI/biểu đồ sao</x:v>
      </x:c>
      <x:c r="E44" s="28" t="str">
        <x:v>Có code</x:v>
      </x:c>
      <x:c r="F44" s="28" t="str">
        <x:v>DB unit; browser chưa QA</x:v>
      </x:c>
      <x:c r="G44" s="28" t="str">
        <x:v>Huy</x:v>
      </x:c>
      <x:c r="H44" s="28" t="str">
        <x:v>KPI và rating 1–5 lấy dữ liệu DB; rỗng phản ánh 0 thật.</x:v>
      </x:c>
      <x:c r="I44" s="28" t="str">
        <x:v>templates/dashboard.html; static/js/dashboard.js</x:v>
      </x:c>
      <x:c r="J44" s="28" t="str">
        <x:v>TC-29</x:v>
      </x:c>
      <x:c r="K44" s="28" t="str">
        <x:v>Chưa nghiệm thu</x:v>
      </x:c>
      <x:c r="L44" s="28" t="str"/>
    </x:row>
    <x:row r="45" ht="44" customHeight="1">
      <x:c r="A45" s="24" t="str">
        <x:v>FR-WSP-02</x:v>
      </x:c>
      <x:c r="B45" s="24" t="str">
        <x:v>WORKSPACE</x:v>
      </x:c>
      <x:c r="C45" s="24" t="str">
        <x:v>P0</x:v>
      </x:c>
      <x:c r="D45" s="24" t="str">
        <x:v>Lịch sử lượt crawl từng tài khoản</x:v>
      </x:c>
      <x:c r="E45" s="24" t="str">
        <x:v>Có code</x:v>
      </x:c>
      <x:c r="F45" s="24" t="str">
        <x:v>API cần E2E</x:v>
      </x:c>
      <x:c r="G45" s="24" t="str">
        <x:v>Duy</x:v>
      </x:c>
      <x:c r="H45" s="24" t="str">
        <x:v>/history chỉ hiện job của user hiện tại và chi tiết 404 cho job khác.</x:v>
      </x:c>
      <x:c r="I45" s="24" t="str">
        <x:v>src/web/workspace.py; templates/history.html</x:v>
      </x:c>
      <x:c r="J45" s="24" t="str">
        <x:v>TC-30</x:v>
      </x:c>
      <x:c r="K45" s="24" t="str">
        <x:v>Chưa nghiệm thu</x:v>
      </x:c>
      <x:c r="L45" s="24" t="str"/>
    </x:row>
    <x:row r="46" ht="44" customHeight="1">
      <x:c r="A46" s="28" t="str">
        <x:v>FR-WSP-03</x:v>
      </x:c>
      <x:c r="B46" s="28" t="str">
        <x:v>WORKSPACE</x:v>
      </x:c>
      <x:c r="C46" s="28" t="str">
        <x:v>P1</x:v>
      </x:c>
      <x:c r="D46" s="28" t="str">
        <x:v>Phân tích rating/category/price</x:v>
      </x:c>
      <x:c r="E46" s="28" t="str">
        <x:v>Có code</x:v>
      </x:c>
      <x:c r="F46" s="28" t="str">
        <x:v>SQL unit; browser chưa QA</x:v>
      </x:c>
      <x:c r="G46" s="28" t="str">
        <x:v>Huy</x:v>
      </x:c>
      <x:c r="H46" s="28" t="str">
        <x:v>Chart/bảng phản ánh phân bố giá và danh mục; ghi rõ GBP.</x:v>
      </x:c>
      <x:c r="I46" s="28" t="str">
        <x:v>src/web/workspace.py; templates/analytics.html</x:v>
      </x:c>
      <x:c r="J46" s="28" t="str">
        <x:v>TC-31</x:v>
      </x:c>
      <x:c r="K46" s="28" t="str">
        <x:v>Chưa nghiệm thu</x:v>
      </x:c>
      <x:c r="L46" s="28" t="str"/>
    </x:row>
    <x:row r="47" ht="44" customHeight="1">
      <x:c r="A47" s="24" t="str">
        <x:v>FR-WSP-04</x:v>
      </x:c>
      <x:c r="B47" s="24" t="str">
        <x:v>WORKSPACE</x:v>
      </x:c>
      <x:c r="C47" s="24" t="str">
        <x:v>P1</x:v>
      </x:c>
      <x:c r="D47" s="24" t="str">
        <x:v>Danh mục nguồn dữ liệu</x:v>
      </x:c>
      <x:c r="E47" s="24" t="str">
        <x:v>Có code</x:v>
      </x:c>
      <x:c r="F47" s="24" t="str">
        <x:v>DB unit; browser chưa QA</x:v>
      </x:c>
      <x:c r="G47" s="24" t="str">
        <x:v>Quý</x:v>
      </x:c>
      <x:c r="H47" s="24" t="str">
        <x:v>Hiển thị nguồn được phép; không tạo tùy chọn URL tự do.</x:v>
      </x:c>
      <x:c r="I47" s="24" t="str">
        <x:v>templates/sources.html; src/web/workspace.py</x:v>
      </x:c>
      <x:c r="J47" s="24" t="str">
        <x:v>TC-32</x:v>
      </x:c>
      <x:c r="K47" s="24" t="str">
        <x:v>Chưa nghiệm thu</x:v>
      </x:c>
      <x:c r="L47" s="24" t="str"/>
    </x:row>
    <x:row r="48" ht="44" customHeight="1">
      <x:c r="A48" s="28" t="str">
        <x:v>FR-WSP-05</x:v>
      </x:c>
      <x:c r="B48" s="28" t="str">
        <x:v>WORKSPACE</x:v>
      </x:c>
      <x:c r="C48" s="28" t="str">
        <x:v>P1</x:v>
      </x:c>
      <x:c r="D48" s="28" t="str">
        <x:v>Trang Hướng dẫn sử dụng</x:v>
      </x:c>
      <x:c r="E48" s="28" t="str">
        <x:v>Có code</x:v>
      </x:c>
      <x:c r="F48" s="28" t="str">
        <x:v>Template; nội dung cần review</x:v>
      </x:c>
      <x:c r="G48" s="28" t="str">
        <x:v>Huy</x:v>
      </x:c>
      <x:c r="H48" s="28" t="str">
        <x:v>Hướng dẫn đăng ký, crawl, tìm kiếm, bookmark và nguyên tắc crawling có ví dụ.</x:v>
      </x:c>
      <x:c r="I48" s="28" t="str">
        <x:v>templates/help.html</x:v>
      </x:c>
      <x:c r="J48" s="28" t="str">
        <x:v>TC-32</x:v>
      </x:c>
      <x:c r="K48" s="28" t="str">
        <x:v>Chưa nghiệm thu</x:v>
      </x:c>
      <x:c r="L48" s="28" t="str"/>
    </x:row>
    <x:row r="49" ht="44" customHeight="1">
      <x:c r="A49" s="24" t="str">
        <x:v>FR-WSP-06</x:v>
      </x:c>
      <x:c r="B49" s="24" t="str">
        <x:v>WORKSPACE</x:v>
      </x:c>
      <x:c r="C49" s="24" t="str">
        <x:v>P0</x:v>
      </x:c>
      <x:c r="D49" s="24" t="str">
        <x:v>Responsive/navigational UX</x:v>
      </x:c>
      <x:c r="E49" s="24" t="str">
        <x:v>Có code</x:v>
      </x:c>
      <x:c r="F49" s="24" t="str">
        <x:v>Chưa visual QA thật</x:v>
      </x:c>
      <x:c r="G49" s="24" t="str">
        <x:v>Huy</x:v>
      </x:c>
      <x:c r="H49" s="24" t="str">
        <x:v>320px, 768px, 1366px không tràn; menu keyboard và modal dùng được.</x:v>
      </x:c>
      <x:c r="I49" s="24" t="str">
        <x:v>static/css/platform.css; templates/base.html</x:v>
      </x:c>
      <x:c r="J49" s="24" t="str">
        <x:v>TC-33</x:v>
      </x:c>
      <x:c r="K49" s="24" t="str">
        <x:v>Chưa nghiệm thu</x:v>
      </x:c>
      <x:c r="L49" s="24" t="str"/>
    </x:row>
    <x:row r="50" ht="44" customHeight="1">
      <x:c r="A50" s="28" t="str">
        <x:v>FR-PLT-01</x:v>
      </x:c>
      <x:c r="B50" s="28" t="str">
        <x:v>PLATFORM</x:v>
      </x:c>
      <x:c r="C50" s="28" t="str">
        <x:v>P0</x:v>
      </x:c>
      <x:c r="D50" s="28" t="str">
        <x:v>CSRF trên mutation API</x:v>
      </x:c>
      <x:c r="E50" s="28" t="str">
        <x:v>Có code</x:v>
      </x:c>
      <x:c r="F50" s="28" t="str">
        <x:v>HTTP unit bị skip</x:v>
      </x:c>
      <x:c r="G50" s="28" t="str">
        <x:v>Duy</x:v>
      </x:c>
      <x:c r="H50" s="28" t="str">
        <x:v>POST/PATCH/DELETE không token hợp lệ trả 403, token mới sau login.</x:v>
      </x:c>
      <x:c r="I50" s="28" t="str">
        <x:v>src/web/security.py; app.py</x:v>
      </x:c>
      <x:c r="J50" s="28" t="str">
        <x:v>TC-34</x:v>
      </x:c>
      <x:c r="K50" s="28" t="str">
        <x:v>Chưa nghiệm thu</x:v>
      </x:c>
      <x:c r="L50" s="28" t="str"/>
    </x:row>
    <x:row r="51" ht="44" customHeight="1">
      <x:c r="A51" s="24" t="str">
        <x:v>FR-PLT-02</x:v>
      </x:c>
      <x:c r="B51" s="24" t="str">
        <x:v>PLATFORM</x:v>
      </x:c>
      <x:c r="C51" s="24" t="str">
        <x:v>P0</x:v>
      </x:c>
      <x:c r="D51" s="24" t="str">
        <x:v>Security headers và cookies</x:v>
      </x:c>
      <x:c r="E51" s="24" t="str">
        <x:v>Có code</x:v>
      </x:c>
      <x:c r="F51" s="24" t="str">
        <x:v>Chưa HTTP browser QA</x:v>
      </x:c>
      <x:c r="G51" s="24" t="str">
        <x:v>Duy</x:v>
      </x:c>
      <x:c r="H51" s="24" t="str">
        <x:v>HttpOnly/SameSite, CSP, trusted hosts; thử đường truy cập từ Apache không lộ DB.</x:v>
      </x:c>
      <x:c r="I51" s="24" t="str">
        <x:v>app.py; .htaccess</x:v>
      </x:c>
      <x:c r="J51" s="24" t="str">
        <x:v>TC-35</x:v>
      </x:c>
      <x:c r="K51" s="24" t="str">
        <x:v>Chưa nghiệm thu</x:v>
      </x:c>
      <x:c r="L51" s="24" t="str"/>
    </x:row>
    <x:row r="52" ht="44" customHeight="1">
      <x:c r="A52" s="28" t="str">
        <x:v>FR-PLT-03</x:v>
      </x:c>
      <x:c r="B52" s="28" t="str">
        <x:v>PLATFORM</x:v>
      </x:c>
      <x:c r="C52" s="28" t="str">
        <x:v>P0</x:v>
      </x:c>
      <x:c r="D52" s="28" t="str">
        <x:v>Migration V3→V4 và backup</x:v>
      </x:c>
      <x:c r="E52" s="28" t="str">
        <x:v>Có code</x:v>
      </x:c>
      <x:c r="F52" s="28" t="str">
        <x:v>Unit migration đạt</x:v>
      </x:c>
      <x:c r="G52" s="28" t="str">
        <x:v>Duy</x:v>
      </x:c>
      <x:c r="H52" s="28" t="str">
        <x:v>Giữ sách/job hiện có, tạo backup trước khi nâng, FK/integrity_check OK.</x:v>
      </x:c>
      <x:c r="I52" s="28" t="str">
        <x:v>src/database/migrations.py; database/migrations/*</x:v>
      </x:c>
      <x:c r="J52" s="28" t="str">
        <x:v>TC-36</x:v>
      </x:c>
      <x:c r="K52" s="28" t="str">
        <x:v>Chưa nghiệm thu</x:v>
      </x:c>
      <x:c r="L52" s="28" t="str"/>
    </x:row>
    <x:row r="53" ht="44" customHeight="1">
      <x:c r="A53" s="24" t="str">
        <x:v>FR-PLT-04</x:v>
      </x:c>
      <x:c r="B53" s="24" t="str">
        <x:v>PLATFORM</x:v>
      </x:c>
      <x:c r="C53" s="24" t="str">
        <x:v>P0</x:v>
      </x:c>
      <x:c r="D53" s="24" t="str">
        <x:v>Setup an toàn và môi trường chạy</x:v>
      </x:c>
      <x:c r="E53" s="24" t="str">
        <x:v>Có code</x:v>
      </x:c>
      <x:c r="F53" s="24" t="str">
        <x:v>Chưa test Windows sạch</x:v>
      </x:c>
      <x:c r="G53" s="24" t="str">
        <x:v>Duy</x:v>
      </x:c>
      <x:c r="H53" s="24" t="str">
        <x:v>START_HERE.bat chạy đúng Python, không xóa htdocs/MySQL, DB private ngoài htdocs.</x:v>
      </x:c>
      <x:c r="I53" s="24" t="str">
        <x:v>START_HERE.bat; scripts/*; README.md</x:v>
      </x:c>
      <x:c r="J53" s="24" t="str">
        <x:v>TC-01, TC-37</x:v>
      </x:c>
      <x:c r="K53" s="24" t="str">
        <x:v>Chưa nghiệm thu</x:v>
      </x:c>
      <x:c r="L53" s="24" t="str"/>
    </x:row>
    <x:row r="54" ht="44" customHeight="1">
      <x:c r="A54" s="28" t="str">
        <x:v>FR-PLT-05</x:v>
      </x:c>
      <x:c r="B54" s="28" t="str">
        <x:v>PLATFORM</x:v>
      </x:c>
      <x:c r="C54" s="28" t="str">
        <x:v>P1</x:v>
      </x:c>
      <x:c r="D54" s="28" t="str">
        <x:v>Thông báo lỗi và trạng thái hệ thống</x:v>
      </x:c>
      <x:c r="E54" s="28" t="str">
        <x:v>Có code</x:v>
      </x:c>
      <x:c r="F54" s="28" t="str">
        <x:v>Chưa E2E</x:v>
      </x:c>
      <x:c r="G54" s="28" t="str">
        <x:v>Huy</x:v>
      </x:c>
      <x:c r="H54" s="28" t="str">
        <x:v>404/500, lỗi network/form có thông báo rõ Việt/Anh, không lộ traceback.</x:v>
      </x:c>
      <x:c r="I54" s="28" t="str">
        <x:v>templates/404.html; templates/500.html; static/js/common.js</x:v>
      </x:c>
      <x:c r="J54" s="28" t="str">
        <x:v>Bổ sung manual QA</x:v>
      </x:c>
      <x:c r="K54" s="28" t="str">
        <x:v>Chưa nghiệm thu</x:v>
      </x:c>
      <x:c r="L54" s="28" t="str"/>
    </x:row>
  </x:sheetData>
  <x:mergeCells>
    <x:mergeCell ref="A1:L1"/>
    <x:mergeCell ref="A2:L2"/>
  </x:mergeCells>
  <x:dataValidations count="1">
    <x:dataValidation type="list" sqref="K5:K54">
      <x:formula1>"Chưa nghiệm thu,Đang kiểm thử,Đạt,Không đạt,Bị chặn"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1d1e480843405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1" hidden="0" customWidth="1"/>
    <x:col min="3" max="3" width="16" hidden="0" customWidth="1"/>
    <x:col min="4" max="4" width="22" hidden="0" customWidth="1"/>
    <x:col min="5" max="5" width="14" hidden="0" customWidth="1"/>
    <x:col min="6" max="6" width="11" hidden="0" customWidth="1"/>
    <x:col min="7" max="7" width="25" hidden="0" customWidth="1"/>
    <x:col min="8" max="8" width="35" hidden="0" customWidth="1"/>
    <x:col min="9" max="9" width="62" hidden="0" customWidth="1"/>
    <x:col min="10" max="10" width="39" hidden="0" customWidth="1"/>
    <x:col min="11" max="11" width="59" hidden="0" customWidth="1"/>
    <x:col min="12" max="12" width="20" hidden="0" customWidth="1"/>
    <x:col min="13" max="13" width="14" hidden="0" customWidth="1"/>
    <x:col min="14" max="14" width="28" hidden="0" customWidth="1"/>
    <x:col min="15" max="15" width="20" hidden="0" customWidth="1"/>
    <x:col min="16" max="16" width="33" hidden="0" customWidth="1"/>
    <x:col min="17" max="17" width="23" hidden="0" customWidth="1"/>
  </x:cols>
  <x:sheetData>
    <x:row r="1" ht="34" customHeight="1">
      <x:c r="A1" s="4" t="str">
        <x:v>TASK BACKLOG · 10 NGÀY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6" customHeight="1">
      <x:c r="A2" s="10" t="str">
        <x:v>90 ticket: 30/người, 50 giờ/người. Chỉ cập nhật "Hoàn thành" sau kiểm thử + PR review + evidence.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</x:row>
    <x:row r="4" ht="30" customHeight="1">
      <x:c r="A4" s="17" t="str">
        <x:v>Task ID</x:v>
      </x:c>
      <x:c r="B4" s="17" t="str">
        <x:v>Ngày số</x:v>
      </x:c>
      <x:c r="C4" s="17" t="str">
        <x:v>Ngày dự kiến</x:v>
      </x:c>
      <x:c r="D4" s="17" t="str">
        <x:v>Owner</x:v>
      </x:c>
      <x:c r="E4" s="17" t="str">
        <x:v>Loại việc</x:v>
      </x:c>
      <x:c r="F4" s="17" t="str">
        <x:v>Ưu tiên</x:v>
      </x:c>
      <x:c r="G4" s="17" t="str">
        <x:v>FR/NFR liên quan</x:v>
      </x:c>
      <x:c r="H4" s="17" t="str">
        <x:v>Tên task</x:v>
      </x:c>
      <x:c r="I4" s="17" t="str">
        <x:v>Cách thực hiện</x:v>
      </x:c>
      <x:c r="J4" s="17" t="str">
        <x:v>File/thư mục</x:v>
      </x:c>
      <x:c r="K4" s="17" t="str">
        <x:v>Điều kiện DONE</x:v>
      </x:c>
      <x:c r="L4" s="17" t="str">
        <x:v>Task phụ thuộc</x:v>
      </x:c>
      <x:c r="M4" s="17" t="str">
        <x:v>Giờ dự kiến</x:v>
      </x:c>
      <x:c r="N4" s="17" t="str">
        <x:v>Baseline / ghi chú</x:v>
      </x:c>
      <x:c r="O4" s="17" t="str">
        <x:v>Trạng thái task</x:v>
      </x:c>
      <x:c r="P4" s="17" t="str">
        <x:v>Evidence / PR / link</x:v>
      </x:c>
      <x:c r="Q4" s="17" t="str">
        <x:v>Reviewer</x:v>
      </x:c>
    </x:row>
    <x:row r="5" ht="44" customHeight="1">
      <x:c r="A5" s="24" t="str">
        <x:v>TK-001</x:v>
      </x:c>
      <x:c r="B5" s="24" t="n">
        <x:v>1</x:v>
      </x:c>
      <x:c r="C5" s="34" t="n">
        <x:f>'00 Tong quan'!$B$6+B5-1</x:f>
        <x:v>46317</x:v>
      </x:c>
      <x:c r="D5" s="24" t="str">
        <x:v>Huy</x:v>
      </x:c>
      <x:c r="E5" s="24" t="str">
        <x:v>QA</x:v>
      </x:c>
      <x:c r="F5" s="24" t="str">
        <x:v>P0</x:v>
      </x:c>
      <x:c r="G5" s="24" t="str">
        <x:v>FR-PUB-01,FR-WSP-06</x:v>
      </x:c>
      <x:c r="H5" s="24" t="str">
        <x:v>UI inventory V4</x:v>
      </x:c>
      <x:c r="I5" s="24" t="str">
        <x:v>Duyệt tất cả 12 template, chụp screenshot desktop/mobile, ghi lỗi link/state.</x:v>
      </x:c>
      <x:c r="J5" s="24" t="str">
        <x:v>templates/*; static/*</x:v>
      </x:c>
      <x:c r="K5" s="24" t="str">
        <x:v>Bug list theo URL, ảnh 320/768/1366 và severity.</x:v>
      </x:c>
      <x:c r="L5" s="24" t="str"/>
      <x:c r="M5" s="24" t="n">
        <x:v>2</x:v>
      </x:c>
      <x:c r="N5" s="24" t="str">
        <x:v>Đã có code V4 hoặc cần xác minh; không tự coi Done.</x:v>
      </x:c>
      <x:c r="O5" s="24" t="str">
        <x:v>Chưa bắt đầu</x:v>
      </x:c>
      <x:c r="P5" s="24" t="str"/>
      <x:c r="Q5" s="24" t="str"/>
    </x:row>
    <x:row r="6" ht="44" customHeight="1">
      <x:c r="A6" s="28" t="str">
        <x:v>TK-002</x:v>
      </x:c>
      <x:c r="B6" s="28" t="n">
        <x:v>1</x:v>
      </x:c>
      <x:c r="C6" s="38" t="n">
        <x:f>'00 Tong quan'!$B$6+B6-1</x:f>
        <x:v>46317</x:v>
      </x:c>
      <x:c r="D6" s="28" t="str">
        <x:v>Huy</x:v>
      </x:c>
      <x:c r="E6" s="28" t="str">
        <x:v>QA</x:v>
      </x:c>
      <x:c r="F6" s="28" t="str">
        <x:v>P0</x:v>
      </x:c>
      <x:c r="G6" s="28" t="str">
        <x:v>FR-USR-01</x:v>
      </x:c>
      <x:c r="H6" s="28" t="str">
        <x:v>Kiểm tra bản dịch VI/EN</x:v>
      </x:c>
      <x:c r="I6" s="28" t="str">
        <x:v>Quét string Việt/Anh, đánh dấu còn tiếng Anh ở mode VI.</x:v>
      </x:c>
      <x:c r="J6" s="28" t="str">
        <x:v>src/i18n.py; static/js/*</x:v>
      </x:c>
      <x:c r="K6" s="28" t="str">
        <x:v>Danh sách chuỗi thiếu và checklist i18n.</x:v>
      </x:c>
      <x:c r="L6" s="28" t="str"/>
      <x:c r="M6" s="28" t="n">
        <x:v>2</x:v>
      </x:c>
      <x:c r="N6" s="28" t="str">
        <x:v>Đã có code V4 hoặc cần xác minh; không tự coi Done.</x:v>
      </x:c>
      <x:c r="O6" s="28" t="str">
        <x:v>Chưa bắt đầu</x:v>
      </x:c>
      <x:c r="P6" s="28" t="str"/>
      <x:c r="Q6" s="28" t="str"/>
    </x:row>
    <x:row r="7" ht="44" customHeight="1">
      <x:c r="A7" s="24" t="str">
        <x:v>TK-003</x:v>
      </x:c>
      <x:c r="B7" s="24" t="n">
        <x:v>1</x:v>
      </x:c>
      <x:c r="C7" s="34" t="n">
        <x:f>'00 Tong quan'!$B$6+B7-1</x:f>
        <x:v>46317</x:v>
      </x:c>
      <x:c r="D7" s="24" t="str">
        <x:v>Huy</x:v>
      </x:c>
      <x:c r="E7" s="24" t="str">
        <x:v>Doc</x:v>
      </x:c>
      <x:c r="F7" s="24" t="str">
        <x:v>P0</x:v>
      </x:c>
      <x:c r="G7" s="24" t="str">
        <x:v>FR-PLT-05</x:v>
      </x:c>
      <x:c r="H7" s="24" t="str">
        <x:v>Chốt UI/UX acceptance</x:v>
      </x:c>
      <x:c r="I7" s="24" t="str">
        <x:v>Chốt typography, màu, trạng thái loading/rỗng/lỗi, keyboard.</x:v>
      </x:c>
      <x:c r="J7" s="24" t="str">
        <x:v>docs/; Excel</x:v>
      </x:c>
      <x:c r="K7" s="24" t="str">
        <x:v>Checklist UX để review PR.</x:v>
      </x:c>
      <x:c r="L7" s="24" t="str"/>
      <x:c r="M7" s="24" t="n">
        <x:v>1</x:v>
      </x:c>
      <x:c r="N7" s="24" t="str">
        <x:v>Đã có code V4 hoặc cần xác minh; không tự coi Done.</x:v>
      </x:c>
      <x:c r="O7" s="24" t="str">
        <x:v>Chưa bắt đầu</x:v>
      </x:c>
      <x:c r="P7" s="24" t="str"/>
      <x:c r="Q7" s="24" t="str"/>
    </x:row>
    <x:row r="8" ht="44" customHeight="1">
      <x:c r="A8" s="28" t="str">
        <x:v>TK-004</x:v>
      </x:c>
      <x:c r="B8" s="28" t="n">
        <x:v>1</x:v>
      </x:c>
      <x:c r="C8" s="38" t="n">
        <x:f>'00 Tong quan'!$B$6+B8-1</x:f>
        <x:v>46317</x:v>
      </x:c>
      <x:c r="D8" s="28" t="str">
        <x:v>Phạm Ngọc Duy</x:v>
      </x:c>
      <x:c r="E8" s="28" t="str">
        <x:v>QA</x:v>
      </x:c>
      <x:c r="F8" s="28" t="str">
        <x:v>P0</x:v>
      </x:c>
      <x:c r="G8" s="28" t="str">
        <x:v>FR-PLT-04</x:v>
      </x:c>
      <x:c r="H8" s="28" t="str">
        <x:v>Setup Windows sạch</x:v>
      </x:c>
      <x:c r="I8" s="28" t="str">
        <x:v>Cài Python 3.11/3.12 venv, pip, bật Flask.</x:v>
      </x:c>
      <x:c r="J8" s="28" t="str">
        <x:v>scripts/*; START_HERE.bat</x:v>
      </x:c>
      <x:c r="K8" s="28" t="str">
        <x:v>Log cài đặt và ảnh landing localhost.</x:v>
      </x:c>
      <x:c r="L8" s="28" t="str"/>
      <x:c r="M8" s="28" t="n">
        <x:v>2</x:v>
      </x:c>
      <x:c r="N8" s="28" t="str">
        <x:v>Đã có code V4 hoặc cần xác minh; không tự coi Done.</x:v>
      </x:c>
      <x:c r="O8" s="28" t="str">
        <x:v>Chưa bắt đầu</x:v>
      </x:c>
      <x:c r="P8" s="28" t="str"/>
      <x:c r="Q8" s="28" t="str"/>
    </x:row>
    <x:row r="9" ht="44" customHeight="1">
      <x:c r="A9" s="24" t="str">
        <x:v>TK-005</x:v>
      </x:c>
      <x:c r="B9" s="24" t="n">
        <x:v>1</x:v>
      </x:c>
      <x:c r="C9" s="34" t="n">
        <x:f>'00 Tong quan'!$B$6+B9-1</x:f>
        <x:v>46317</x:v>
      </x:c>
      <x:c r="D9" s="24" t="str">
        <x:v>Phạm Ngọc Duy</x:v>
      </x:c>
      <x:c r="E9" s="24" t="str">
        <x:v>QA</x:v>
      </x:c>
      <x:c r="F9" s="24" t="str">
        <x:v>P0</x:v>
      </x:c>
      <x:c r="G9" s="24" t="str">
        <x:v>FR-PLT-03</x:v>
      </x:c>
      <x:c r="H9" s="24" t="str">
        <x:v>Kiểm tra database runtime V4</x:v>
      </x:c>
      <x:c r="I9" s="24" t="str">
        <x:v>Đọc 15 bảng, 3 views, user_version=4, integrity_check và FK.</x:v>
      </x:c>
      <x:c r="J9" s="24" t="str">
        <x:v>database/*; src/database/migrations.py</x:v>
      </x:c>
      <x:c r="K9" s="24" t="str">
        <x:v>SQL output/table screenshots; không dùng demo DB.</x:v>
      </x:c>
      <x:c r="L9" s="24" t="str"/>
      <x:c r="M9" s="24" t="n">
        <x:v>2</x:v>
      </x:c>
      <x:c r="N9" s="24" t="str">
        <x:v>Đã có code V4 hoặc cần xác minh; không tự coi Done.</x:v>
      </x:c>
      <x:c r="O9" s="24" t="str">
        <x:v>Chưa bắt đầu</x:v>
      </x:c>
      <x:c r="P9" s="24" t="str"/>
      <x:c r="Q9" s="24" t="str"/>
    </x:row>
    <x:row r="10" ht="44" customHeight="1">
      <x:c r="A10" s="28" t="str">
        <x:v>TK-006</x:v>
      </x:c>
      <x:c r="B10" s="28" t="n">
        <x:v>1</x:v>
      </x:c>
      <x:c r="C10" s="38" t="n">
        <x:f>'00 Tong quan'!$B$6+B10-1</x:f>
        <x:v>46317</x:v>
      </x:c>
      <x:c r="D10" s="28" t="str">
        <x:v>Phạm Ngọc Duy</x:v>
      </x:c>
      <x:c r="E10" s="28" t="str">
        <x:v>QA</x:v>
      </x:c>
      <x:c r="F10" s="28" t="str">
        <x:v>P0</x:v>
      </x:c>
      <x:c r="G10" s="28" t="str">
        <x:v>FR-PLT-02</x:v>
      </x:c>
      <x:c r="H10" s="28" t="str">
        <x:v>Kiểm tra LTW-TH dưới XAMPP</x:v>
      </x:c>
      <x:c r="I10" s="28" t="str">
        <x:v>Thử URL Apache, xác nhận SQLite/.env không exposed.</x:v>
      </x:c>
      <x:c r="J10" s="28" t="str">
        <x:v>README.md; .htaccess</x:v>
      </x:c>
      <x:c r="K10" s="28" t="str">
        <x:v>Bằng chứng Apache không trả file nhạy cảm.</x:v>
      </x:c>
      <x:c r="L10" s="28" t="str"/>
      <x:c r="M10" s="28" t="n">
        <x:v>1</x:v>
      </x:c>
      <x:c r="N10" s="28" t="str">
        <x:v>Đã có code V4 hoặc cần xác minh; không tự coi Done.</x:v>
      </x:c>
      <x:c r="O10" s="28" t="str">
        <x:v>Chưa bắt đầu</x:v>
      </x:c>
      <x:c r="P10" s="28" t="str"/>
      <x:c r="Q10" s="28" t="str"/>
    </x:row>
    <x:row r="11" ht="44" customHeight="1">
      <x:c r="A11" s="24" t="str">
        <x:v>TK-007</x:v>
      </x:c>
      <x:c r="B11" s="24" t="n">
        <x:v>1</x:v>
      </x:c>
      <x:c r="C11" s="34" t="n">
        <x:f>'00 Tong quan'!$B$6+B11-1</x:f>
        <x:v>46317</x:v>
      </x:c>
      <x:c r="D11" s="24" t="str">
        <x:v>Nguyễn Trọng Quý</x:v>
      </x:c>
      <x:c r="E11" s="24" t="str">
        <x:v>QA</x:v>
      </x:c>
      <x:c r="F11" s="24" t="str">
        <x:v>P0</x:v>
      </x:c>
      <x:c r="G11" s="24" t="str">
        <x:v>FR-CRW-05</x:v>
      </x:c>
      <x:c r="H11" s="24" t="str">
        <x:v>Cài Scrapy và chạy smoke spider</x:v>
      </x:c>
      <x:c r="I11" s="24" t="str">
        <x:v>Chạy 1 trang catalogue và book detail; lấy log.</x:v>
      </x:c>
      <x:c r="J11" s="24" t="str">
        <x:v>crawler/*; requirements.txt</x:v>
      </x:c>
      <x:c r="K11" s="24" t="str">
        <x:v>Job terminal; DB có sách crawl thật và log.</x:v>
      </x:c>
      <x:c r="L11" s="24" t="str"/>
      <x:c r="M11" s="24" t="n">
        <x:v>2</x:v>
      </x:c>
      <x:c r="N11" s="24" t="str">
        <x:v>Đã có code V4 hoặc cần xác minh; không tự coi Done.</x:v>
      </x:c>
      <x:c r="O11" s="24" t="str">
        <x:v>Chưa bắt đầu</x:v>
      </x:c>
      <x:c r="P11" s="24" t="str"/>
      <x:c r="Q11" s="24" t="str"/>
    </x:row>
    <x:row r="12" ht="44" customHeight="1">
      <x:c r="A12" s="28" t="str">
        <x:v>TK-008</x:v>
      </x:c>
      <x:c r="B12" s="28" t="n">
        <x:v>1</x:v>
      </x:c>
      <x:c r="C12" s="38" t="n">
        <x:f>'00 Tong quan'!$B$6+B12-1</x:f>
        <x:v>46317</x:v>
      </x:c>
      <x:c r="D12" s="28" t="str">
        <x:v>Nguyễn Trọng Quý</x:v>
      </x:c>
      <x:c r="E12" s="28" t="str">
        <x:v>QA</x:v>
      </x:c>
      <x:c r="F12" s="28" t="str">
        <x:v>P0</x:v>
      </x:c>
      <x:c r="G12" s="28" t="str">
        <x:v>FR-CRW-07</x:v>
      </x:c>
      <x:c r="H12" s="28" t="str">
        <x:v>Review robots/limits</x:v>
      </x:c>
      <x:c r="I12" s="28" t="str">
        <x:v>Đọc policy, robots.txt cho đúng sandbox, throttle.</x:v>
      </x:c>
      <x:c r="J12" s="28" t="str">
        <x:v>crawler/settings.py; books_spider.py</x:v>
      </x:c>
      <x:c r="K12" s="28" t="str">
        <x:v>Bảng policy hiện tại và risk notes.</x:v>
      </x:c>
      <x:c r="L12" s="28" t="str"/>
      <x:c r="M12" s="28" t="n">
        <x:v>2</x:v>
      </x:c>
      <x:c r="N12" s="28" t="str">
        <x:v>Đã có code V4 hoặc cần xác minh; không tự coi Done.</x:v>
      </x:c>
      <x:c r="O12" s="28" t="str">
        <x:v>Chưa bắt đầu</x:v>
      </x:c>
      <x:c r="P12" s="28" t="str"/>
      <x:c r="Q12" s="28" t="str"/>
    </x:row>
    <x:row r="13" ht="44" customHeight="1">
      <x:c r="A13" s="24" t="str">
        <x:v>TK-009</x:v>
      </x:c>
      <x:c r="B13" s="24" t="n">
        <x:v>1</x:v>
      </x:c>
      <x:c r="C13" s="34" t="n">
        <x:f>'00 Tong quan'!$B$6+B13-1</x:f>
        <x:v>46317</x:v>
      </x:c>
      <x:c r="D13" s="24" t="str">
        <x:v>Nguyễn Trọng Quý</x:v>
      </x:c>
      <x:c r="E13" s="24" t="str">
        <x:v>QA</x:v>
      </x:c>
      <x:c r="F13" s="24" t="str">
        <x:v>P0</x:v>
      </x:c>
      <x:c r="G13" s="24" t="str">
        <x:v>FR-CRW-06</x:v>
      </x:c>
      <x:c r="H13" s="24" t="str">
        <x:v>Kiểm parser fixture</x:v>
      </x:c>
      <x:c r="I13" s="24" t="str">
        <x:v>Đối chiếu selector HTML hiện tại với fixture.</x:v>
      </x:c>
      <x:c r="J13" s="24" t="str">
        <x:v>crawler/parser.py; tests/fixtures/*</x:v>
      </x:c>
      <x:c r="K13" s="24" t="str">
        <x:v>pytest parser PASS và snapshot trường.</x:v>
      </x:c>
      <x:c r="L13" s="24" t="str"/>
      <x:c r="M13" s="24" t="n">
        <x:v>1</x:v>
      </x:c>
      <x:c r="N13" s="24" t="str">
        <x:v>Đã có code V4 hoặc cần xác minh; không tự coi Done.</x:v>
      </x:c>
      <x:c r="O13" s="24" t="str">
        <x:v>Chưa bắt đầu</x:v>
      </x:c>
      <x:c r="P13" s="24" t="str"/>
      <x:c r="Q13" s="24" t="str"/>
    </x:row>
    <x:row r="14" ht="44" customHeight="1">
      <x:c r="A14" s="28" t="str">
        <x:v>TK-010</x:v>
      </x:c>
      <x:c r="B14" s="28" t="n">
        <x:v>2</x:v>
      </x:c>
      <x:c r="C14" s="38" t="n">
        <x:f>'00 Tong quan'!$B$6+B14-1</x:f>
        <x:v>46318</x:v>
      </x:c>
      <x:c r="D14" s="28" t="str">
        <x:v>Huy</x:v>
      </x:c>
      <x:c r="E14" s="28" t="str">
        <x:v>Improve</x:v>
      </x:c>
      <x:c r="F14" s="28" t="str">
        <x:v>P1</x:v>
      </x:c>
      <x:c r="G14" s="28" t="str">
        <x:v>FR-PUB-01,FR-PUB-02</x:v>
      </x:c>
      <x:c r="H14" s="28" t="str">
        <x:v>Hoàn thiện landing và CTA</x:v>
      </x:c>
      <x:c r="I14" s="28" t="str">
        <x:v>Điều chỉnh nội dung giải thích, CTA đăng ký, minh họa 3 bước.</x:v>
      </x:c>
      <x:c r="J14" s="28" t="str">
        <x:v>templates/index.html; platform.css</x:v>
      </x:c>
      <x:c r="K14" s="28" t="str">
        <x:v>Khách hiểu ứng dụng trong 30 giây, CTA hoạt động.</x:v>
      </x:c>
      <x:c r="L14" s="28" t="str">
        <x:v>TK-001</x:v>
      </x:c>
      <x:c r="M14" s="28" t="n">
        <x:v>2</x:v>
      </x:c>
      <x:c r="N14" s="28" t="str">
        <x:v>Đã có code V4 hoặc cần xác minh; không tự coi Done.</x:v>
      </x:c>
      <x:c r="O14" s="28" t="str">
        <x:v>Chưa bắt đầu</x:v>
      </x:c>
      <x:c r="P14" s="28" t="str"/>
      <x:c r="Q14" s="28" t="str"/>
    </x:row>
    <x:row r="15" ht="44" customHeight="1">
      <x:c r="A15" s="24" t="str">
        <x:v>TK-011</x:v>
      </x:c>
      <x:c r="B15" s="24" t="n">
        <x:v>2</x:v>
      </x:c>
      <x:c r="C15" s="34" t="n">
        <x:f>'00 Tong quan'!$B$6+B15-1</x:f>
        <x:v>46318</x:v>
      </x:c>
      <x:c r="D15" s="24" t="str">
        <x:v>Huy</x:v>
      </x:c>
      <x:c r="E15" s="24" t="str">
        <x:v>QA</x:v>
      </x:c>
      <x:c r="F15" s="24" t="str">
        <x:v>P0</x:v>
      </x:c>
      <x:c r="G15" s="24" t="str">
        <x:v>FR-USR-02</x:v>
      </x:c>
      <x:c r="H15" s="24" t="str">
        <x:v>QA theme các trang</x:v>
      </x:c>
      <x:c r="I15" s="24" t="str">
        <x:v>Dark/light/system ở auth, dashboard, books, settings.</x:v>
      </x:c>
      <x:c r="J15" s="24" t="str">
        <x:v>platform.css; common.js</x:v>
      </x:c>
      <x:c r="K15" s="24" t="str">
        <x:v>Không low contrast/flash; ảnh đối chiếu.</x:v>
      </x:c>
      <x:c r="L15" s="24" t="str"/>
      <x:c r="M15" s="24" t="n">
        <x:v>2</x:v>
      </x:c>
      <x:c r="N15" s="24" t="str">
        <x:v>Đã có code V4 hoặc cần xác minh; không tự coi Done.</x:v>
      </x:c>
      <x:c r="O15" s="24" t="str">
        <x:v>Chưa bắt đầu</x:v>
      </x:c>
      <x:c r="P15" s="24" t="str"/>
      <x:c r="Q15" s="24" t="str"/>
    </x:row>
    <x:row r="16" ht="44" customHeight="1">
      <x:c r="A16" s="28" t="str">
        <x:v>TK-012</x:v>
      </x:c>
      <x:c r="B16" s="28" t="n">
        <x:v>2</x:v>
      </x:c>
      <x:c r="C16" s="38" t="n">
        <x:f>'00 Tong quan'!$B$6+B16-1</x:f>
        <x:v>46318</x:v>
      </x:c>
      <x:c r="D16" s="28" t="str">
        <x:v>Huy</x:v>
      </x:c>
      <x:c r="E16" s="28" t="str">
        <x:v>QA</x:v>
      </x:c>
      <x:c r="F16" s="28" t="str">
        <x:v>P0</x:v>
      </x:c>
      <x:c r="G16" s="28" t="str">
        <x:v>FR-WSP-06</x:v>
      </x:c>
      <x:c r="H16" s="28" t="str">
        <x:v>Kiểm menu và modal mobile</x:v>
      </x:c>
      <x:c r="I16" s="28" t="str">
        <x:v>Kiểm menu 320px và focus khi dialog mở/đóng.</x:v>
      </x:c>
      <x:c r="J16" s="28" t="str">
        <x:v>templates/base.html; common.js</x:v>
      </x:c>
      <x:c r="K16" s="28" t="str">
        <x:v>Không overflow, keyboard dùng được.</x:v>
      </x:c>
      <x:c r="L16" s="28" t="str"/>
      <x:c r="M16" s="28" t="n">
        <x:v>1</x:v>
      </x:c>
      <x:c r="N16" s="28" t="str">
        <x:v>Đã có code V4 hoặc cần xác minh; không tự coi Done.</x:v>
      </x:c>
      <x:c r="O16" s="28" t="str">
        <x:v>Chưa bắt đầu</x:v>
      </x:c>
      <x:c r="P16" s="28" t="str"/>
      <x:c r="Q16" s="28" t="str"/>
    </x:row>
    <x:row r="17" ht="44" customHeight="1">
      <x:c r="A17" s="24" t="str">
        <x:v>TK-013</x:v>
      </x:c>
      <x:c r="B17" s="24" t="n">
        <x:v>2</x:v>
      </x:c>
      <x:c r="C17" s="34" t="n">
        <x:f>'00 Tong quan'!$B$6+B17-1</x:f>
        <x:v>46318</x:v>
      </x:c>
      <x:c r="D17" s="24" t="str">
        <x:v>Phạm Ngọc Duy</x:v>
      </x:c>
      <x:c r="E17" s="24" t="str">
        <x:v>QA</x:v>
      </x:c>
      <x:c r="F17" s="24" t="str">
        <x:v>P0</x:v>
      </x:c>
      <x:c r="G17" s="24" t="str">
        <x:v>FR-AUT-01,FR-AUT-02</x:v>
      </x:c>
      <x:c r="H17" s="24" t="str">
        <x:v>E2E đăng ký và login</x:v>
      </x:c>
      <x:c r="I17" s="24" t="str">
        <x:v>Test signup, validation, duplicate, login/logout với cookies.</x:v>
      </x:c>
      <x:c r="J17" s="24" t="str">
        <x:v>src/web/auth.py; tests/test_api.py</x:v>
      </x:c>
      <x:c r="K17" s="24" t="str">
        <x:v>Bằng chứng HTTP 201/400/401/200 và DB user mới.</x:v>
      </x:c>
      <x:c r="L17" s="24" t="str">
        <x:v>TK-004</x:v>
      </x:c>
      <x:c r="M17" s="24" t="n">
        <x:v>2</x:v>
      </x:c>
      <x:c r="N17" s="24" t="str">
        <x:v>Đã có code V4 hoặc cần xác minh; không tự coi Done.</x:v>
      </x:c>
      <x:c r="O17" s="24" t="str">
        <x:v>Chưa bắt đầu</x:v>
      </x:c>
      <x:c r="P17" s="24" t="str"/>
      <x:c r="Q17" s="24" t="str"/>
    </x:row>
    <x:row r="18" ht="44" customHeight="1">
      <x:c r="A18" s="28" t="str">
        <x:v>TK-014</x:v>
      </x:c>
      <x:c r="B18" s="28" t="n">
        <x:v>2</x:v>
      </x:c>
      <x:c r="C18" s="38" t="n">
        <x:f>'00 Tong quan'!$B$6+B18-1</x:f>
        <x:v>46318</x:v>
      </x:c>
      <x:c r="D18" s="28" t="str">
        <x:v>Phạm Ngọc Duy</x:v>
      </x:c>
      <x:c r="E18" s="28" t="str">
        <x:v>QA</x:v>
      </x:c>
      <x:c r="F18" s="28" t="str">
        <x:v>P0</x:v>
      </x:c>
      <x:c r="G18" s="28" t="str">
        <x:v>FR-AUT-09,FR-PLT-01</x:v>
      </x:c>
      <x:c r="H18" s="28" t="str">
        <x:v>Kiểm CSRF và protected routes</x:v>
      </x:c>
      <x:c r="I18" s="28" t="str">
        <x:v>Guest GET/private và mutation thiếu token.</x:v>
      </x:c>
      <x:c r="J18" s="28" t="str">
        <x:v>src/web/security.py; app.py</x:v>
      </x:c>
      <x:c r="K18" s="28" t="str">
        <x:v>401/403 đúng, không tác động DB.</x:v>
      </x:c>
      <x:c r="L18" s="28" t="str">
        <x:v>TK-004</x:v>
      </x:c>
      <x:c r="M18" s="28" t="n">
        <x:v>2</x:v>
      </x:c>
      <x:c r="N18" s="28" t="str">
        <x:v>Đã có code V4 hoặc cần xác minh; không tự coi Done.</x:v>
      </x:c>
      <x:c r="O18" s="28" t="str">
        <x:v>Chưa bắt đầu</x:v>
      </x:c>
      <x:c r="P18" s="28" t="str"/>
      <x:c r="Q18" s="28" t="str"/>
    </x:row>
    <x:row r="19" ht="44" customHeight="1">
      <x:c r="A19" s="24" t="str">
        <x:v>TK-015</x:v>
      </x:c>
      <x:c r="B19" s="24" t="n">
        <x:v>2</x:v>
      </x:c>
      <x:c r="C19" s="34" t="n">
        <x:f>'00 Tong quan'!$B$6+B19-1</x:f>
        <x:v>46318</x:v>
      </x:c>
      <x:c r="D19" s="24" t="str">
        <x:v>Phạm Ngọc Duy</x:v>
      </x:c>
      <x:c r="E19" s="24" t="str">
        <x:v>Test</x:v>
      </x:c>
      <x:c r="F19" s="24" t="str">
        <x:v>P0</x:v>
      </x:c>
      <x:c r="G19" s="24" t="str">
        <x:v>FR-USR-05</x:v>
      </x:c>
      <x:c r="H19" s="24" t="str">
        <x:v>Viết smoke multi-user isolation</x:v>
      </x:c>
      <x:c r="I19" s="24" t="str">
        <x:v>2 accounts, saved searches, jobs, bookmarks không lộ.</x:v>
      </x:c>
      <x:c r="J19" s="24" t="str">
        <x:v>tests/test_api.py; workspace.py</x:v>
      </x:c>
      <x:c r="K19" s="24" t="str">
        <x:v>Test E2E mới PASS.</x:v>
      </x:c>
      <x:c r="L19" s="24" t="str"/>
      <x:c r="M19" s="24" t="n">
        <x:v>1</x:v>
      </x:c>
      <x:c r="N19" s="24" t="str">
        <x:v>Đã có code V4 hoặc cần xác minh; không tự coi Done.</x:v>
      </x:c>
      <x:c r="O19" s="24" t="str">
        <x:v>Chưa bắt đầu</x:v>
      </x:c>
      <x:c r="P19" s="24" t="str"/>
      <x:c r="Q19" s="24" t="str"/>
    </x:row>
    <x:row r="20" ht="44" customHeight="1">
      <x:c r="A20" s="28" t="str">
        <x:v>TK-016</x:v>
      </x:c>
      <x:c r="B20" s="28" t="n">
        <x:v>2</x:v>
      </x:c>
      <x:c r="C20" s="38" t="n">
        <x:f>'00 Tong quan'!$B$6+B20-1</x:f>
        <x:v>46318</x:v>
      </x:c>
      <x:c r="D20" s="28" t="str">
        <x:v>Nguyễn Trọng Quý</x:v>
      </x:c>
      <x:c r="E20" s="28" t="str">
        <x:v>QA</x:v>
      </x:c>
      <x:c r="F20" s="28" t="str">
        <x:v>P0</x:v>
      </x:c>
      <x:c r="G20" s="28" t="str">
        <x:v>FR-CRW-05</x:v>
      </x:c>
      <x:c r="H20" s="28" t="str">
        <x:v>Kiểm pagination 2 trang live</x:v>
      </x:c>
      <x:c r="I20" s="28" t="str">
        <x:v>Crawl 2 trang catalogue và kiểm page-2 path, counters.</x:v>
      </x:c>
      <x:c r="J20" s="28" t="str">
        <x:v>books_spider.py; crawl_pages</x:v>
      </x:c>
      <x:c r="K20" s="28" t="str">
        <x:v>Đúng 2 crawl_pages và không &gt;2.</x:v>
      </x:c>
      <x:c r="L20" s="28" t="str">
        <x:v>TK-007</x:v>
      </x:c>
      <x:c r="M20" s="28" t="n">
        <x:v>2</x:v>
      </x:c>
      <x:c r="N20" s="28" t="str">
        <x:v>Đã có code V4 hoặc cần xác minh; không tự coi Done.</x:v>
      </x:c>
      <x:c r="O20" s="28" t="str">
        <x:v>Chưa bắt đầu</x:v>
      </x:c>
      <x:c r="P20" s="28" t="str"/>
      <x:c r="Q20" s="28" t="str"/>
    </x:row>
    <x:row r="21" ht="44" customHeight="1">
      <x:c r="A21" s="24" t="str">
        <x:v>TK-017</x:v>
      </x:c>
      <x:c r="B21" s="24" t="n">
        <x:v>2</x:v>
      </x:c>
      <x:c r="C21" s="34" t="n">
        <x:f>'00 Tong quan'!$B$6+B21-1</x:f>
        <x:v>46318</x:v>
      </x:c>
      <x:c r="D21" s="24" t="str">
        <x:v>Nguyễn Trọng Quý</x:v>
      </x:c>
      <x:c r="E21" s="24" t="str">
        <x:v>QA</x:v>
      </x:c>
      <x:c r="F21" s="24" t="str">
        <x:v>P0</x:v>
      </x:c>
      <x:c r="G21" s="24" t="str">
        <x:v>FR-CRW-08</x:v>
      </x:c>
      <x:c r="H21" s="24" t="str">
        <x:v>Recrawl chống trùng</x:v>
      </x:c>
      <x:c r="I21" s="24" t="str">
        <x:v>Crawl lại, so book count, NEW/UNCHANGED.</x:v>
      </x:c>
      <x:c r="J21" s="24" t="str">
        <x:v>src/database/books.py; pipelines.py</x:v>
      </x:c>
      <x:c r="K21" s="24" t="str">
        <x:v>Count không tăng do URL trùng.</x:v>
      </x:c>
      <x:c r="L21" s="24" t="str">
        <x:v>TK-007</x:v>
      </x:c>
      <x:c r="M21" s="24" t="n">
        <x:v>2</x:v>
      </x:c>
      <x:c r="N21" s="24" t="str">
        <x:v>Đã có code V4 hoặc cần xác minh; không tự coi Done.</x:v>
      </x:c>
      <x:c r="O21" s="24" t="str">
        <x:v>Chưa bắt đầu</x:v>
      </x:c>
      <x:c r="P21" s="24" t="str"/>
      <x:c r="Q21" s="24" t="str"/>
    </x:row>
    <x:row r="22" ht="44" customHeight="1">
      <x:c r="A22" s="28" t="str">
        <x:v>TK-018</x:v>
      </x:c>
      <x:c r="B22" s="28" t="n">
        <x:v>2</x:v>
      </x:c>
      <x:c r="C22" s="38" t="n">
        <x:f>'00 Tong quan'!$B$6+B22-1</x:f>
        <x:v>46318</x:v>
      </x:c>
      <x:c r="D22" s="28" t="str">
        <x:v>Nguyễn Trọng Quý</x:v>
      </x:c>
      <x:c r="E22" s="28" t="str">
        <x:v>Test</x:v>
      </x:c>
      <x:c r="F22" s="28" t="str">
        <x:v>P0</x:v>
      </x:c>
      <x:c r="G22" s="28" t="str">
        <x:v>FR-CRW-11</x:v>
      </x:c>
      <x:c r="H22" s="28" t="str">
        <x:v>Kiểm lỗi parser/network</x:v>
      </x:c>
      <x:c r="I22" s="28" t="str">
        <x:v>Mock 404/timeout/missing card để ghi events.</x:v>
      </x:c>
      <x:c r="J22" s="28" t="str">
        <x:v>tests/test_spider.py; parser.py</x:v>
      </x:c>
      <x:c r="K22" s="28" t="str">
        <x:v>Test lỗi và báo FAIL rõ.</x:v>
      </x:c>
      <x:c r="L22" s="28" t="str"/>
      <x:c r="M22" s="28" t="n">
        <x:v>1</x:v>
      </x:c>
      <x:c r="N22" s="28" t="str">
        <x:v>Đã có code V4 hoặc cần xác minh; không tự coi Done.</x:v>
      </x:c>
      <x:c r="O22" s="28" t="str">
        <x:v>Chưa bắt đầu</x:v>
      </x:c>
      <x:c r="P22" s="28" t="str"/>
      <x:c r="Q22" s="28" t="str"/>
    </x:row>
    <x:row r="23" ht="44" customHeight="1">
      <x:c r="A23" s="24" t="str">
        <x:v>TK-019</x:v>
      </x:c>
      <x:c r="B23" s="24" t="n">
        <x:v>3</x:v>
      </x:c>
      <x:c r="C23" s="34" t="n">
        <x:f>'00 Tong quan'!$B$6+B23-1</x:f>
        <x:v>46319</x:v>
      </x:c>
      <x:c r="D23" s="24" t="str">
        <x:v>Huy</x:v>
      </x:c>
      <x:c r="E23" s="24" t="str">
        <x:v>QA</x:v>
      </x:c>
      <x:c r="F23" s="24" t="str">
        <x:v>P0</x:v>
      </x:c>
      <x:c r="G23" s="24" t="str">
        <x:v>FR-CRW-10</x:v>
      </x:c>
      <x:c r="H23" s="24" t="str">
        <x:v>Monitor polling/reload</x:v>
      </x:c>
      <x:c r="I23" s="24" t="str">
        <x:v>Bật crawl, reload giữa PENDING/RUNNING, xem end-state.</x:v>
      </x:c>
      <x:c r="J23" s="24" t="str">
        <x:v>dashboard.js; dashboard.html</x:v>
      </x:c>
      <x:c r="K23" s="24" t="str">
        <x:v>Không duplicate job, poll dừng đúng.</x:v>
      </x:c>
      <x:c r="L23" s="24" t="str">
        <x:v>TK-016</x:v>
      </x:c>
      <x:c r="M23" s="24" t="n">
        <x:v>2</x:v>
      </x:c>
      <x:c r="N23" s="24" t="str">
        <x:v>Đã có code V4 hoặc cần xác minh; không tự coi Done.</x:v>
      </x:c>
      <x:c r="O23" s="24" t="str">
        <x:v>Chưa bắt đầu</x:v>
      </x:c>
      <x:c r="P23" s="24" t="str"/>
      <x:c r="Q23" s="24" t="str"/>
    </x:row>
    <x:row r="24" ht="44" customHeight="1">
      <x:c r="A24" s="28" t="str">
        <x:v>TK-020</x:v>
      </x:c>
      <x:c r="B24" s="28" t="n">
        <x:v>3</x:v>
      </x:c>
      <x:c r="C24" s="38" t="n">
        <x:f>'00 Tong quan'!$B$6+B24-1</x:f>
        <x:v>46319</x:v>
      </x:c>
      <x:c r="D24" s="28" t="str">
        <x:v>Huy</x:v>
      </x:c>
      <x:c r="E24" s="28" t="str">
        <x:v>QA</x:v>
      </x:c>
      <x:c r="F24" s="28" t="str">
        <x:v>P0</x:v>
      </x:c>
      <x:c r="G24" s="28" t="str">
        <x:v>FR-WSP-01</x:v>
      </x:c>
      <x:c r="H24" s="28" t="str">
        <x:v>Dashboard KPI empty và populated</x:v>
      </x:c>
      <x:c r="I24" s="28" t="str">
        <x:v>So database rỗng và có books; chart rating 1–5.</x:v>
      </x:c>
      <x:c r="J24" s="28" t="str">
        <x:v>dashboard.js</x:v>
      </x:c>
      <x:c r="K24" s="28" t="str">
        <x:v>KPI DB khớp chart SQL.</x:v>
      </x:c>
      <x:c r="L24" s="28" t="str"/>
      <x:c r="M24" s="28" t="n">
        <x:v>2</x:v>
      </x:c>
      <x:c r="N24" s="28" t="str">
        <x:v>Đã có code V4 hoặc cần xác minh; không tự coi Done.</x:v>
      </x:c>
      <x:c r="O24" s="28" t="str">
        <x:v>Chưa bắt đầu</x:v>
      </x:c>
      <x:c r="P24" s="28" t="str"/>
      <x:c r="Q24" s="28" t="str"/>
    </x:row>
    <x:row r="25" ht="44" customHeight="1">
      <x:c r="A25" s="24" t="str">
        <x:v>TK-021</x:v>
      </x:c>
      <x:c r="B25" s="24" t="n">
        <x:v>3</x:v>
      </x:c>
      <x:c r="C25" s="34" t="n">
        <x:f>'00 Tong quan'!$B$6+B25-1</x:f>
        <x:v>46319</x:v>
      </x:c>
      <x:c r="D25" s="24" t="str">
        <x:v>Huy</x:v>
      </x:c>
      <x:c r="E25" s="24" t="str">
        <x:v>Improve</x:v>
      </x:c>
      <x:c r="F25" s="24" t="str">
        <x:v>P1</x:v>
      </x:c>
      <x:c r="G25" s="24" t="str">
        <x:v>FR-PLT-05</x:v>
      </x:c>
      <x:c r="H25" s="24" t="str">
        <x:v>Hợp thức hóa lỗi động VI/EN</x:v>
      </x:c>
      <x:c r="I25" s="24" t="str">
        <x:v>Rà toast, lỗi form, network errors, 404.</x:v>
      </x:c>
      <x:c r="J25" s="24" t="str">
        <x:v>common.js; i18n.py</x:v>
      </x:c>
      <x:c r="K25" s="24" t="str">
        <x:v>Không còn placeholder sai ngôn ngữ.</x:v>
      </x:c>
      <x:c r="L25" s="24" t="str"/>
      <x:c r="M25" s="24" t="n">
        <x:v>1</x:v>
      </x:c>
      <x:c r="N25" s="24" t="str">
        <x:v>Đã có code V4 hoặc cần xác minh; không tự coi Done.</x:v>
      </x:c>
      <x:c r="O25" s="24" t="str">
        <x:v>Chưa bắt đầu</x:v>
      </x:c>
      <x:c r="P25" s="24" t="str"/>
      <x:c r="Q25" s="24" t="str"/>
    </x:row>
    <x:row r="26" ht="44" customHeight="1">
      <x:c r="A26" s="28" t="str">
        <x:v>TK-022</x:v>
      </x:c>
      <x:c r="B26" s="28" t="n">
        <x:v>3</x:v>
      </x:c>
      <x:c r="C26" s="38" t="n">
        <x:f>'00 Tong quan'!$B$6+B26-1</x:f>
        <x:v>46319</x:v>
      </x:c>
      <x:c r="D26" s="28" t="str">
        <x:v>Phạm Ngọc Duy</x:v>
      </x:c>
      <x:c r="E26" s="28" t="str">
        <x:v>QA</x:v>
      </x:c>
      <x:c r="F26" s="28" t="str">
        <x:v>P0</x:v>
      </x:c>
      <x:c r="G26" s="28" t="str">
        <x:v>FR-CRW-01,FR-CRW-03</x:v>
      </x:c>
      <x:c r="H26" s="28" t="str">
        <x:v>E2E job API/409</x:v>
      </x:c>
      <x:c r="I26" s="28" t="str">
        <x:v>Start crawl POST có user, kiểm 202, request thứ 2 409.</x:v>
      </x:c>
      <x:c r="J26" s="28" t="str">
        <x:v>app.py; jobs.py</x:v>
      </x:c>
      <x:c r="K26" s="28" t="str">
        <x:v>Job owner đúng, active unique index.</x:v>
      </x:c>
      <x:c r="L26" s="28" t="str">
        <x:v>TK-013</x:v>
      </x:c>
      <x:c r="M26" s="28" t="n">
        <x:v>2</x:v>
      </x:c>
      <x:c r="N26" s="28" t="str">
        <x:v>Đã có code V4 hoặc cần xác minh; không tự coi Done.</x:v>
      </x:c>
      <x:c r="O26" s="28" t="str">
        <x:v>Chưa bắt đầu</x:v>
      </x:c>
      <x:c r="P26" s="28" t="str"/>
      <x:c r="Q26" s="28" t="str"/>
    </x:row>
    <x:row r="27" ht="44" customHeight="1">
      <x:c r="A27" s="24" t="str">
        <x:v>TK-023</x:v>
      </x:c>
      <x:c r="B27" s="24" t="n">
        <x:v>3</x:v>
      </x:c>
      <x:c r="C27" s="34" t="n">
        <x:f>'00 Tong quan'!$B$6+B27-1</x:f>
        <x:v>46319</x:v>
      </x:c>
      <x:c r="D27" s="24" t="str">
        <x:v>Phạm Ngọc Duy</x:v>
      </x:c>
      <x:c r="E27" s="24" t="str">
        <x:v>QA</x:v>
      </x:c>
      <x:c r="F27" s="24" t="str">
        <x:v>P0</x:v>
      </x:c>
      <x:c r="G27" s="24" t="str">
        <x:v>FR-CRW-09</x:v>
      </x:c>
      <x:c r="H27" s="24" t="str">
        <x:v>Kiểm job state/events</x:v>
      </x:c>
      <x:c r="I27" s="24" t="str">
        <x:v>SELECT job/events liên tục khi spider chạy.</x:v>
      </x:c>
      <x:c r="J27" s="24" t="str">
        <x:v>jobs.py; run_job.py</x:v>
      </x:c>
      <x:c r="K27" s="24" t="str">
        <x:v>Counters nhất quán và terminal timestamp đúng.</x:v>
      </x:c>
      <x:c r="L27" s="24" t="str"/>
      <x:c r="M27" s="24" t="n">
        <x:v>2</x:v>
      </x:c>
      <x:c r="N27" s="24" t="str">
        <x:v>Đã có code V4 hoặc cần xác minh; không tự coi Done.</x:v>
      </x:c>
      <x:c r="O27" s="24" t="str">
        <x:v>Chưa bắt đầu</x:v>
      </x:c>
      <x:c r="P27" s="24" t="str"/>
      <x:c r="Q27" s="24" t="str"/>
    </x:row>
    <x:row r="28" ht="44" customHeight="1">
      <x:c r="A28" s="28" t="str">
        <x:v>TK-024</x:v>
      </x:c>
      <x:c r="B28" s="28" t="n">
        <x:v>3</x:v>
      </x:c>
      <x:c r="C28" s="38" t="n">
        <x:f>'00 Tong quan'!$B$6+B28-1</x:f>
        <x:v>46319</x:v>
      </x:c>
      <x:c r="D28" s="28" t="str">
        <x:v>Phạm Ngọc Duy</x:v>
      </x:c>
      <x:c r="E28" s="28" t="str">
        <x:v>QA</x:v>
      </x:c>
      <x:c r="F28" s="28" t="str">
        <x:v>P0</x:v>
      </x:c>
      <x:c r="G28" s="28" t="str">
        <x:v>FR-PLT-03</x:v>
      </x:c>
      <x:c r="H28" s="28" t="str">
        <x:v>Migration V3→V4 trên DB copy</x:v>
      </x:c>
      <x:c r="I28" s="28" t="str">
        <x:v>Copy DB V3 demo, upgrade rồi so row counts/backup.</x:v>
      </x:c>
      <x:c r="J28" s="28" t="str">
        <x:v>migrations.py; SQL</x:v>
      </x:c>
      <x:c r="K28" s="28" t="str">
        <x:v>Backup có thể restore, FK check 0.</x:v>
      </x:c>
      <x:c r="L28" s="28" t="str"/>
      <x:c r="M28" s="28" t="n">
        <x:v>1</x:v>
      </x:c>
      <x:c r="N28" s="28" t="str">
        <x:v>Đã có code V4 hoặc cần xác minh; không tự coi Done.</x:v>
      </x:c>
      <x:c r="O28" s="28" t="str">
        <x:v>Chưa bắt đầu</x:v>
      </x:c>
      <x:c r="P28" s="28" t="str"/>
      <x:c r="Q28" s="28" t="str"/>
    </x:row>
    <x:row r="29" ht="44" customHeight="1">
      <x:c r="A29" s="24" t="str">
        <x:v>TK-025</x:v>
      </x:c>
      <x:c r="B29" s="24" t="n">
        <x:v>3</x:v>
      </x:c>
      <x:c r="C29" s="34" t="n">
        <x:f>'00 Tong quan'!$B$6+B29-1</x:f>
        <x:v>46319</x:v>
      </x:c>
      <x:c r="D29" s="24" t="str">
        <x:v>Nguyễn Trọng Quý</x:v>
      </x:c>
      <x:c r="E29" s="24" t="str">
        <x:v>QA</x:v>
      </x:c>
      <x:c r="F29" s="24" t="str">
        <x:v>P0</x:v>
      </x:c>
      <x:c r="G29" s="24" t="str">
        <x:v>FR-CRW-06</x:v>
      </x:c>
      <x:c r="H29" s="24" t="str">
        <x:v>Đối chiếu field chi tiết live</x:v>
      </x:c>
      <x:c r="I29" s="24" t="str">
        <x:v>Lấy 3 book URLs, so title/price/category/rating.</x:v>
      </x:c>
      <x:c r="J29" s="24" t="str">
        <x:v>parser.py; tests/test_parser.py</x:v>
      </x:c>
      <x:c r="K29" s="24" t="str">
        <x:v>Chính xác dữ liệu thực và bằng chứng HTML.</x:v>
      </x:c>
      <x:c r="L29" s="24" t="str"/>
      <x:c r="M29" s="24" t="n">
        <x:v>2</x:v>
      </x:c>
      <x:c r="N29" s="24" t="str">
        <x:v>Đã có code V4 hoặc cần xác minh; không tự coi Done.</x:v>
      </x:c>
      <x:c r="O29" s="24" t="str">
        <x:v>Chưa bắt đầu</x:v>
      </x:c>
      <x:c r="P29" s="24" t="str"/>
      <x:c r="Q29" s="24" t="str"/>
    </x:row>
    <x:row r="30" ht="44" customHeight="1">
      <x:c r="A30" s="28" t="str">
        <x:v>TK-026</x:v>
      </x:c>
      <x:c r="B30" s="28" t="n">
        <x:v>3</x:v>
      </x:c>
      <x:c r="C30" s="38" t="n">
        <x:f>'00 Tong quan'!$B$6+B30-1</x:f>
        <x:v>46319</x:v>
      </x:c>
      <x:c r="D30" s="28" t="str">
        <x:v>Nguyễn Trọng Quý</x:v>
      </x:c>
      <x:c r="E30" s="28" t="str">
        <x:v>QA</x:v>
      </x:c>
      <x:c r="F30" s="28" t="str">
        <x:v>P0</x:v>
      </x:c>
      <x:c r="G30" s="28" t="str">
        <x:v>FR-CRW-07</x:v>
      </x:c>
      <x:c r="H30" s="28" t="str">
        <x:v>Đo số request và delay</x:v>
      </x:c>
      <x:c r="I30" s="28" t="str">
        <x:v>Quan sát log downloader, thiết lập delay không gây 429.</x:v>
      </x:c>
      <x:c r="J30" s="28" t="str">
        <x:v>crawler/settings.py</x:v>
      </x:c>
      <x:c r="K30" s="28" t="str">
        <x:v>Bảng log request, page count đúng nghĩa.</x:v>
      </x:c>
      <x:c r="L30" s="28" t="str"/>
      <x:c r="M30" s="28" t="n">
        <x:v>2</x:v>
      </x:c>
      <x:c r="N30" s="28" t="str">
        <x:v>Đã có code V4 hoặc cần xác minh; không tự coi Done.</x:v>
      </x:c>
      <x:c r="O30" s="28" t="str">
        <x:v>Chưa bắt đầu</x:v>
      </x:c>
      <x:c r="P30" s="28" t="str"/>
      <x:c r="Q30" s="28" t="str"/>
    </x:row>
    <x:row r="31" ht="44" customHeight="1">
      <x:c r="A31" s="24" t="str">
        <x:v>TK-027</x:v>
      </x:c>
      <x:c r="B31" s="24" t="n">
        <x:v>3</x:v>
      </x:c>
      <x:c r="C31" s="34" t="n">
        <x:f>'00 Tong quan'!$B$6+B31-1</x:f>
        <x:v>46319</x:v>
      </x:c>
      <x:c r="D31" s="24" t="str">
        <x:v>Nguyễn Trọng Quý</x:v>
      </x:c>
      <x:c r="E31" s="24" t="str">
        <x:v>Fix</x:v>
      </x:c>
      <x:c r="F31" s="24" t="str">
        <x:v>P0</x:v>
      </x:c>
      <x:c r="G31" s="24" t="str">
        <x:v>FR-CRW-11</x:v>
      </x:c>
      <x:c r="H31" s="24" t="str">
        <x:v>Tối ưu retry/error event</x:v>
      </x:c>
      <x:c r="I31" s="24" t="str">
        <x:v>Nếu thấy bug, sửa kèm test fail-first, không swallow error.</x:v>
      </x:c>
      <x:c r="J31" s="24" t="str">
        <x:v>spiders/books_spider.py; run_job.py</x:v>
      </x:c>
      <x:c r="K31" s="24" t="str">
        <x:v>Một PR có test và log lỗi hợp lý.</x:v>
      </x:c>
      <x:c r="L31" s="24" t="str"/>
      <x:c r="M31" s="24" t="n">
        <x:v>1</x:v>
      </x:c>
      <x:c r="N31" s="24" t="str">
        <x:v>Đã có code V4 hoặc cần xác minh; không tự coi Done.</x:v>
      </x:c>
      <x:c r="O31" s="24" t="str">
        <x:v>Chưa bắt đầu</x:v>
      </x:c>
      <x:c r="P31" s="24" t="str"/>
      <x:c r="Q31" s="24" t="str"/>
    </x:row>
    <x:row r="32" ht="44" customHeight="1">
      <x:c r="A32" s="28" t="str">
        <x:v>TK-028</x:v>
      </x:c>
      <x:c r="B32" s="28" t="n">
        <x:v>4</x:v>
      </x:c>
      <x:c r="C32" s="38" t="n">
        <x:f>'00 Tong quan'!$B$6+B32-1</x:f>
        <x:v>46320</x:v>
      </x:c>
      <x:c r="D32" s="28" t="str">
        <x:v>Huy</x:v>
      </x:c>
      <x:c r="E32" s="28" t="str">
        <x:v>QA</x:v>
      </x:c>
      <x:c r="F32" s="28" t="str">
        <x:v>P0</x:v>
      </x:c>
      <x:c r="G32" s="28" t="str">
        <x:v>FR-BOO-01,FR-BOO-02</x:v>
      </x:c>
      <x:c r="H32" s="28" t="str">
        <x:v>Search/pagination Books E2E</x:v>
      </x:c>
      <x:c r="I32" s="28" t="str">
        <x:v>Từ khóa có/không; về trang 1 khi filter đổi.</x:v>
      </x:c>
      <x:c r="J32" s="28" t="str">
        <x:v>books.js; books.html</x:v>
      </x:c>
      <x:c r="K32" s="28" t="str">
        <x:v>Total và items khớp API.</x:v>
      </x:c>
      <x:c r="L32" s="28" t="str"/>
      <x:c r="M32" s="28" t="n">
        <x:v>2</x:v>
      </x:c>
      <x:c r="N32" s="28" t="str">
        <x:v>Đã có code V4 hoặc cần xác minh; không tự coi Done.</x:v>
      </x:c>
      <x:c r="O32" s="28" t="str">
        <x:v>Chưa bắt đầu</x:v>
      </x:c>
      <x:c r="P32" s="28" t="str"/>
      <x:c r="Q32" s="28" t="str"/>
    </x:row>
    <x:row r="33" ht="44" customHeight="1">
      <x:c r="A33" s="24" t="str">
        <x:v>TK-029</x:v>
      </x:c>
      <x:c r="B33" s="24" t="n">
        <x:v>4</x:v>
      </x:c>
      <x:c r="C33" s="34" t="n">
        <x:f>'00 Tong quan'!$B$6+B33-1</x:f>
        <x:v>46320</x:v>
      </x:c>
      <x:c r="D33" s="24" t="str">
        <x:v>Huy</x:v>
      </x:c>
      <x:c r="E33" s="24" t="str">
        <x:v>QA</x:v>
      </x:c>
      <x:c r="F33" s="24" t="str">
        <x:v>P0</x:v>
      </x:c>
      <x:c r="G33" s="24" t="str">
        <x:v>FR-BOO-03</x:v>
      </x:c>
      <x:c r="H33" s="24" t="str">
        <x:v>Lọc giá GBP</x:v>
      </x:c>
      <x:c r="I33" s="24" t="str">
        <x:v>Test decimals, khoảng ngược, reset filter.</x:v>
      </x:c>
      <x:c r="J33" s="24" t="str">
        <x:v>books.js; workspace.py</x:v>
      </x:c>
      <x:c r="K33" s="24" t="str">
        <x:v>Giá đúng pence, invalid xử lý.</x:v>
      </x:c>
      <x:c r="L33" s="24" t="str"/>
      <x:c r="M33" s="24" t="n">
        <x:v>1.5</x:v>
      </x:c>
      <x:c r="N33" s="24" t="str">
        <x:v>Đã có code V4 hoặc cần xác minh; không tự coi Done.</x:v>
      </x:c>
      <x:c r="O33" s="24" t="str">
        <x:v>Chưa bắt đầu</x:v>
      </x:c>
      <x:c r="P33" s="24" t="str"/>
      <x:c r="Q33" s="24" t="str"/>
    </x:row>
    <x:row r="34" ht="44" customHeight="1">
      <x:c r="A34" s="28" t="str">
        <x:v>TK-030</x:v>
      </x:c>
      <x:c r="B34" s="28" t="n">
        <x:v>4</x:v>
      </x:c>
      <x:c r="C34" s="38" t="n">
        <x:f>'00 Tong quan'!$B$6+B34-1</x:f>
        <x:v>46320</x:v>
      </x:c>
      <x:c r="D34" s="28" t="str">
        <x:v>Huy</x:v>
      </x:c>
      <x:c r="E34" s="28" t="str">
        <x:v>QA</x:v>
      </x:c>
      <x:c r="F34" s="28" t="str">
        <x:v>P1</x:v>
      </x:c>
      <x:c r="G34" s="28" t="str">
        <x:v>FR-BOO-04</x:v>
      </x:c>
      <x:c r="H34" s="28" t="str">
        <x:v>Modal chi tiết/lịch sử giá</x:v>
      </x:c>
      <x:c r="I34" s="28" t="str">
        <x:v>Đọc rating, image, category, change history.</x:v>
      </x:c>
      <x:c r="J34" s="28" t="str">
        <x:v>books.js; books.html</x:v>
      </x:c>
      <x:c r="K34" s="28" t="str">
        <x:v>Modal đóng/mở bằng keyboard, dữ liệu thật.</x:v>
      </x:c>
      <x:c r="L34" s="28" t="str"/>
      <x:c r="M34" s="28" t="n">
        <x:v>1.5</x:v>
      </x:c>
      <x:c r="N34" s="28" t="str">
        <x:v>Đã có code V4 hoặc cần xác minh; không tự coi Done.</x:v>
      </x:c>
      <x:c r="O34" s="28" t="str">
        <x:v>Chưa bắt đầu</x:v>
      </x:c>
      <x:c r="P34" s="28" t="str"/>
      <x:c r="Q34" s="28" t="str"/>
    </x:row>
    <x:row r="35" ht="44" customHeight="1">
      <x:c r="A35" s="24" t="str">
        <x:v>TK-031</x:v>
      </x:c>
      <x:c r="B35" s="24" t="n">
        <x:v>4</x:v>
      </x:c>
      <x:c r="C35" s="34" t="n">
        <x:f>'00 Tong quan'!$B$6+B35-1</x:f>
        <x:v>46320</x:v>
      </x:c>
      <x:c r="D35" s="24" t="str">
        <x:v>Phạm Ngọc Duy</x:v>
      </x:c>
      <x:c r="E35" s="24" t="str">
        <x:v>QA</x:v>
      </x:c>
      <x:c r="F35" s="24" t="str">
        <x:v>P0</x:v>
      </x:c>
      <x:c r="G35" s="24" t="str">
        <x:v>FR-BOO-05</x:v>
      </x:c>
      <x:c r="H35" s="24" t="str">
        <x:v>API bookmark cross-user</x:v>
      </x:c>
      <x:c r="I35" s="24" t="str">
        <x:v>2 user add/delete cùng book, thử ID không tồn tại.</x:v>
      </x:c>
      <x:c r="J35" s="24" t="str">
        <x:v>workspace.py; accounts.py</x:v>
      </x:c>
      <x:c r="K35" s="24" t="str">
        <x:v>No data leakage; 404/200 đúng.</x:v>
      </x:c>
      <x:c r="L35" s="24" t="str"/>
      <x:c r="M35" s="24" t="n">
        <x:v>2</x:v>
      </x:c>
      <x:c r="N35" s="24" t="str">
        <x:v>Đã có code V4 hoặc cần xác minh; không tự coi Done.</x:v>
      </x:c>
      <x:c r="O35" s="24" t="str">
        <x:v>Chưa bắt đầu</x:v>
      </x:c>
      <x:c r="P35" s="24" t="str"/>
      <x:c r="Q35" s="24" t="str"/>
    </x:row>
    <x:row r="36" ht="44" customHeight="1">
      <x:c r="A36" s="28" t="str">
        <x:v>TK-032</x:v>
      </x:c>
      <x:c r="B36" s="28" t="n">
        <x:v>4</x:v>
      </x:c>
      <x:c r="C36" s="38" t="n">
        <x:f>'00 Tong quan'!$B$6+B36-1</x:f>
        <x:v>46320</x:v>
      </x:c>
      <x:c r="D36" s="28" t="str">
        <x:v>Phạm Ngọc Duy</x:v>
      </x:c>
      <x:c r="E36" s="28" t="str">
        <x:v>QA</x:v>
      </x:c>
      <x:c r="F36" s="28" t="str">
        <x:v>P1</x:v>
      </x:c>
      <x:c r="G36" s="28" t="str">
        <x:v>FR-BOO-07</x:v>
      </x:c>
      <x:c r="H36" s="28" t="str">
        <x:v>Saved search validation</x:v>
      </x:c>
      <x:c r="I36" s="28" t="str">
        <x:v>Save duplicate name/range &amp; owner delete.</x:v>
      </x:c>
      <x:c r="J36" s="28" t="str">
        <x:v>accounts.py; workspace.py</x:v>
      </x:c>
      <x:c r="K36" s="28" t="str">
        <x:v>Validation 400; B không xóa A.</x:v>
      </x:c>
      <x:c r="L36" s="28" t="str"/>
      <x:c r="M36" s="28" t="n">
        <x:v>1.5</x:v>
      </x:c>
      <x:c r="N36" s="28" t="str">
        <x:v>Đã có code V4 hoặc cần xác minh; không tự coi Done.</x:v>
      </x:c>
      <x:c r="O36" s="28" t="str">
        <x:v>Chưa bắt đầu</x:v>
      </x:c>
      <x:c r="P36" s="28" t="str"/>
      <x:c r="Q36" s="28" t="str"/>
    </x:row>
    <x:row r="37" ht="44" customHeight="1">
      <x:c r="A37" s="24" t="str">
        <x:v>TK-033</x:v>
      </x:c>
      <x:c r="B37" s="24" t="n">
        <x:v>4</x:v>
      </x:c>
      <x:c r="C37" s="34" t="n">
        <x:f>'00 Tong quan'!$B$6+B37-1</x:f>
        <x:v>46320</x:v>
      </x:c>
      <x:c r="D37" s="24" t="str">
        <x:v>Phạm Ngọc Duy</x:v>
      </x:c>
      <x:c r="E37" s="24" t="str">
        <x:v>Fix</x:v>
      </x:c>
      <x:c r="F37" s="24" t="str">
        <x:v>P1</x:v>
      </x:c>
      <x:c r="G37" s="24" t="str">
        <x:v>FR-BOO-08</x:v>
      </x:c>
      <x:c r="H37" s="24" t="str">
        <x:v>CSV Excel encoding+injection</x:v>
      </x:c>
      <x:c r="I37" s="24" t="str">
        <x:v>Kiểm BOM/UTF-8 và payload bắt đầu =,+,-,@.</x:v>
      </x:c>
      <x:c r="J37" s="24" t="str">
        <x:v>workspace.py; tests/</x:v>
      </x:c>
      <x:c r="K37" s="24" t="str">
        <x:v>Export mở Excel không công thức độc hại.</x:v>
      </x:c>
      <x:c r="L37" s="24" t="str"/>
      <x:c r="M37" s="24" t="n">
        <x:v>1.5</x:v>
      </x:c>
      <x:c r="N37" s="24" t="str">
        <x:v>Đã có code V4 hoặc cần xác minh; không tự coi Done.</x:v>
      </x:c>
      <x:c r="O37" s="24" t="str">
        <x:v>Chưa bắt đầu</x:v>
      </x:c>
      <x:c r="P37" s="24" t="str"/>
      <x:c r="Q37" s="24" t="str"/>
    </x:row>
    <x:row r="38" ht="44" customHeight="1">
      <x:c r="A38" s="28" t="str">
        <x:v>TK-034</x:v>
      </x:c>
      <x:c r="B38" s="28" t="n">
        <x:v>4</x:v>
      </x:c>
      <x:c r="C38" s="38" t="n">
        <x:f>'00 Tong quan'!$B$6+B38-1</x:f>
        <x:v>46320</x:v>
      </x:c>
      <x:c r="D38" s="28" t="str">
        <x:v>Nguyễn Trọng Quý</x:v>
      </x:c>
      <x:c r="E38" s="28" t="str">
        <x:v>QA</x:v>
      </x:c>
      <x:c r="F38" s="28" t="str">
        <x:v>P0</x:v>
      </x:c>
      <x:c r="G38" s="28" t="str">
        <x:v>FR-CRW-08</x:v>
      </x:c>
      <x:c r="H38" s="28" t="str">
        <x:v>Quan sát NEW/UPDATED/UNCHANGED</x:v>
      </x:c>
      <x:c r="I38" s="28" t="str">
        <x:v>Inject fixture cập nhật giá/tiêu đề vào test DB.</x:v>
      </x:c>
      <x:c r="J38" s="28" t="str">
        <x:v>books.py; crawl_job_books</x:v>
      </x:c>
      <x:c r="K38" s="28" t="str">
        <x:v>Đúng job action và price_history.</x:v>
      </x:c>
      <x:c r="L38" s="28" t="str"/>
      <x:c r="M38" s="28" t="n">
        <x:v>2</x:v>
      </x:c>
      <x:c r="N38" s="28" t="str">
        <x:v>Đã có code V4 hoặc cần xác minh; không tự coi Done.</x:v>
      </x:c>
      <x:c r="O38" s="28" t="str">
        <x:v>Chưa bắt đầu</x:v>
      </x:c>
      <x:c r="P38" s="28" t="str"/>
      <x:c r="Q38" s="28" t="str"/>
    </x:row>
    <x:row r="39" ht="44" customHeight="1">
      <x:c r="A39" s="24" t="str">
        <x:v>TK-035</x:v>
      </x:c>
      <x:c r="B39" s="24" t="n">
        <x:v>4</x:v>
      </x:c>
      <x:c r="C39" s="34" t="n">
        <x:f>'00 Tong quan'!$B$6+B39-1</x:f>
        <x:v>46320</x:v>
      </x:c>
      <x:c r="D39" s="24" t="str">
        <x:v>Nguyễn Trọng Quý</x:v>
      </x:c>
      <x:c r="E39" s="24" t="str">
        <x:v>Doc</x:v>
      </x:c>
      <x:c r="F39" s="24" t="str">
        <x:v>P1</x:v>
      </x:c>
      <x:c r="G39" s="24" t="str">
        <x:v>FR-CRW-09</x:v>
      </x:c>
      <x:c r="H39" s="24" t="str">
        <x:v>Trace database evidence</x:v>
      </x:c>
      <x:c r="I39" s="24" t="str">
        <x:v>Viết mẫu query crawl_pages/events/job_books.</x:v>
      </x:c>
      <x:c r="J39" s="24" t="str">
        <x:v>SQL_RECIPES.md</x:v>
      </x:c>
      <x:c r="K39" s="24" t="str">
        <x:v>Kết quả SQL cho một job thật.</x:v>
      </x:c>
      <x:c r="L39" s="24" t="str"/>
      <x:c r="M39" s="24" t="n">
        <x:v>1.5</x:v>
      </x:c>
      <x:c r="N39" s="24" t="str">
        <x:v>Đã có code V4 hoặc cần xác minh; không tự coi Done.</x:v>
      </x:c>
      <x:c r="O39" s="24" t="str">
        <x:v>Chưa bắt đầu</x:v>
      </x:c>
      <x:c r="P39" s="24" t="str"/>
      <x:c r="Q39" s="24" t="str"/>
    </x:row>
    <x:row r="40" ht="44" customHeight="1">
      <x:c r="A40" s="28" t="str">
        <x:v>TK-036</x:v>
      </x:c>
      <x:c r="B40" s="28" t="n">
        <x:v>4</x:v>
      </x:c>
      <x:c r="C40" s="38" t="n">
        <x:f>'00 Tong quan'!$B$6+B40-1</x:f>
        <x:v>46320</x:v>
      </x:c>
      <x:c r="D40" s="28" t="str">
        <x:v>Nguyễn Trọng Quý</x:v>
      </x:c>
      <x:c r="E40" s="28" t="str">
        <x:v>QA</x:v>
      </x:c>
      <x:c r="F40" s="28" t="str">
        <x:v>P1</x:v>
      </x:c>
      <x:c r="G40" s="28" t="str">
        <x:v>FR-CRW-12</x:v>
      </x:c>
      <x:c r="H40" s="28" t="str">
        <x:v>Kill worker + recovery</x:v>
      </x:c>
      <x:c r="I40" s="28" t="str">
        <x:v>Tắt process có chủ đích và khôi phục theo README.</x:v>
      </x:c>
      <x:c r="J40" s="28" t="str">
        <x:v>src/recover_job.py</x:v>
      </x:c>
      <x:c r="K40" s="28" t="str">
        <x:v>Không kẹt active quá lâu, hành vi xác định.</x:v>
      </x:c>
      <x:c r="L40" s="28" t="str"/>
      <x:c r="M40" s="28" t="n">
        <x:v>1.5</x:v>
      </x:c>
      <x:c r="N40" s="28" t="str">
        <x:v>Đã có code V4 hoặc cần xác minh; không tự coi Done.</x:v>
      </x:c>
      <x:c r="O40" s="28" t="str">
        <x:v>Chưa bắt đầu</x:v>
      </x:c>
      <x:c r="P40" s="28" t="str"/>
      <x:c r="Q40" s="28" t="str"/>
    </x:row>
    <x:row r="41" ht="44" customHeight="1">
      <x:c r="A41" s="24" t="str">
        <x:v>TK-037</x:v>
      </x:c>
      <x:c r="B41" s="24" t="n">
        <x:v>5</x:v>
      </x:c>
      <x:c r="C41" s="34" t="n">
        <x:f>'00 Tong quan'!$B$6+B41-1</x:f>
        <x:v>46321</x:v>
      </x:c>
      <x:c r="D41" s="24" t="str">
        <x:v>Huy</x:v>
      </x:c>
      <x:c r="E41" s="24" t="str">
        <x:v>QA</x:v>
      </x:c>
      <x:c r="F41" s="24" t="str">
        <x:v>P0</x:v>
      </x:c>
      <x:c r="G41" s="24" t="str">
        <x:v>FR-BOO-06</x:v>
      </x:c>
      <x:c r="H41" s="24" t="str">
        <x:v>Trang Saved + empty states</x:v>
      </x:c>
      <x:c r="I41" s="24" t="str">
        <x:v>Save, remove, page 1/2, empty.</x:v>
      </x:c>
      <x:c r="J41" s="24" t="str">
        <x:v>saved.html; workspace-pages.js</x:v>
      </x:c>
      <x:c r="K41" s="24" t="str">
        <x:v>Refresh giữ list chính xác.</x:v>
      </x:c>
      <x:c r="L41" s="24" t="str"/>
      <x:c r="M41" s="24" t="n">
        <x:v>1.5</x:v>
      </x:c>
      <x:c r="N41" s="24" t="str">
        <x:v>Đã có code V4 hoặc cần xác minh; không tự coi Done.</x:v>
      </x:c>
      <x:c r="O41" s="24" t="str">
        <x:v>Chưa bắt đầu</x:v>
      </x:c>
      <x:c r="P41" s="24" t="str"/>
      <x:c r="Q41" s="24" t="str"/>
    </x:row>
    <x:row r="42" ht="44" customHeight="1">
      <x:c r="A42" s="28" t="str">
        <x:v>TK-038</x:v>
      </x:c>
      <x:c r="B42" s="28" t="n">
        <x:v>5</x:v>
      </x:c>
      <x:c r="C42" s="38" t="n">
        <x:f>'00 Tong quan'!$B$6+B42-1</x:f>
        <x:v>46321</x:v>
      </x:c>
      <x:c r="D42" s="28" t="str">
        <x:v>Huy</x:v>
      </x:c>
      <x:c r="E42" s="28" t="str">
        <x:v>QA</x:v>
      </x:c>
      <x:c r="F42" s="28" t="str">
        <x:v>P1</x:v>
      </x:c>
      <x:c r="G42" s="28" t="str">
        <x:v>FR-BOO-07</x:v>
      </x:c>
      <x:c r="H42" s="28" t="str">
        <x:v>UI Saved Filters</x:v>
      </x:c>
      <x:c r="I42" s="28" t="str">
        <x:v>Tạo/áp filter nhiều lần, xóa và reload.</x:v>
      </x:c>
      <x:c r="J42" s="28" t="str">
        <x:v>books.js</x:v>
      </x:c>
      <x:c r="K42" s="28" t="str">
        <x:v>Không mất bộ lọc, trạng thái rõ.</x:v>
      </x:c>
      <x:c r="L42" s="28" t="str"/>
      <x:c r="M42" s="28" t="n">
        <x:v>1.5</x:v>
      </x:c>
      <x:c r="N42" s="28" t="str">
        <x:v>Đã có code V4 hoặc cần xác minh; không tự coi Done.</x:v>
      </x:c>
      <x:c r="O42" s="28" t="str">
        <x:v>Chưa bắt đầu</x:v>
      </x:c>
      <x:c r="P42" s="28" t="str"/>
      <x:c r="Q42" s="28" t="str"/>
    </x:row>
    <x:row r="43" ht="44" customHeight="1">
      <x:c r="A43" s="24" t="str">
        <x:v>TK-039</x:v>
      </x:c>
      <x:c r="B43" s="24" t="n">
        <x:v>5</x:v>
      </x:c>
      <x:c r="C43" s="34" t="n">
        <x:f>'00 Tong quan'!$B$6+B43-1</x:f>
        <x:v>46321</x:v>
      </x:c>
      <x:c r="D43" s="24" t="str">
        <x:v>Huy</x:v>
      </x:c>
      <x:c r="E43" s="24" t="str">
        <x:v>Fix</x:v>
      </x:c>
      <x:c r="F43" s="24" t="str">
        <x:v>P0</x:v>
      </x:c>
      <x:c r="G43" s="24" t="str">
        <x:v>FR-WSP-06</x:v>
      </x:c>
      <x:c r="H43" s="24" t="str">
        <x:v>Sửa responsive round 1</x:v>
      </x:c>
      <x:c r="I43" s="24" t="str">
        <x:v>Fix lỗi high severity từ D1–D4.</x:v>
      </x:c>
      <x:c r="J43" s="24" t="str">
        <x:v>platform.css; templates/*</x:v>
      </x:c>
      <x:c r="K43" s="24" t="str">
        <x:v>0 blocker responsive trong checklist.</x:v>
      </x:c>
      <x:c r="L43" s="24" t="str"/>
      <x:c r="M43" s="24" t="n">
        <x:v>2</x:v>
      </x:c>
      <x:c r="N43" s="24" t="str">
        <x:v>Đã có code V4 hoặc cần xác minh; không tự coi Done.</x:v>
      </x:c>
      <x:c r="O43" s="24" t="str">
        <x:v>Chưa bắt đầu</x:v>
      </x:c>
      <x:c r="P43" s="24" t="str"/>
      <x:c r="Q43" s="24" t="str"/>
    </x:row>
    <x:row r="44" ht="44" customHeight="1">
      <x:c r="A44" s="28" t="str">
        <x:v>TK-040</x:v>
      </x:c>
      <x:c r="B44" s="28" t="n">
        <x:v>5</x:v>
      </x:c>
      <x:c r="C44" s="38" t="n">
        <x:f>'00 Tong quan'!$B$6+B44-1</x:f>
        <x:v>46321</x:v>
      </x:c>
      <x:c r="D44" s="28" t="str">
        <x:v>Phạm Ngọc Duy</x:v>
      </x:c>
      <x:c r="E44" s="28" t="str">
        <x:v>QA</x:v>
      </x:c>
      <x:c r="F44" s="28" t="str">
        <x:v>P0</x:v>
      </x:c>
      <x:c r="G44" s="28" t="str">
        <x:v>FR-AUT-04</x:v>
      </x:c>
      <x:c r="H44" s="28" t="str">
        <x:v>Reset token TTL/reuse E2E</x:v>
      </x:c>
      <x:c r="I44" s="28" t="str">
        <x:v>Reset local opt-in, invalid/reuse/expired token.</x:v>
      </x:c>
      <x:c r="J44" s="28" t="str">
        <x:v>auth.py; accounts.py</x:v>
      </x:c>
      <x:c r="K44" s="28" t="str">
        <x:v>Một lần dùng; session revocation.</x:v>
      </x:c>
      <x:c r="L44" s="28" t="str"/>
      <x:c r="M44" s="28" t="n">
        <x:v>1.5</x:v>
      </x:c>
      <x:c r="N44" s="28" t="str">
        <x:v>Đã có code V4 hoặc cần xác minh; không tự coi Done.</x:v>
      </x:c>
      <x:c r="O44" s="28" t="str">
        <x:v>Chưa bắt đầu</x:v>
      </x:c>
      <x:c r="P44" s="28" t="str"/>
      <x:c r="Q44" s="28" t="str"/>
    </x:row>
    <x:row r="45" ht="44" customHeight="1">
      <x:c r="A45" s="24" t="str">
        <x:v>TK-041</x:v>
      </x:c>
      <x:c r="B45" s="24" t="n">
        <x:v>5</x:v>
      </x:c>
      <x:c r="C45" s="34" t="n">
        <x:f>'00 Tong quan'!$B$6+B45-1</x:f>
        <x:v>46321</x:v>
      </x:c>
      <x:c r="D45" s="24" t="str">
        <x:v>Phạm Ngọc Duy</x:v>
      </x:c>
      <x:c r="E45" s="24" t="str">
        <x:v>QA</x:v>
      </x:c>
      <x:c r="F45" s="24" t="str">
        <x:v>P1</x:v>
      </x:c>
      <x:c r="G45" s="24" t="str">
        <x:v>FR-AUT-05</x:v>
      </x:c>
      <x:c r="H45" s="24" t="str">
        <x:v>SMTP Gmail/App password integration</x:v>
      </x:c>
      <x:c r="I45" s="24" t="str">
        <x:v>Gửi email đến hộp thư thử; báo lỗi cấu hình thật.</x:v>
      </x:c>
      <x:c r="J45" s="24" t="str">
        <x:v>src/web/mail.py; .env</x:v>
      </x:c>
      <x:c r="K45" s="24" t="str">
        <x:v>Ảnh email + log 200, không ghi secrets.</x:v>
      </x:c>
      <x:c r="L45" s="24" t="str"/>
      <x:c r="M45" s="24" t="n">
        <x:v>2</x:v>
      </x:c>
      <x:c r="N45" s="24" t="str">
        <x:v>Đã có code V4 hoặc cần xác minh; không tự coi Done.</x:v>
      </x:c>
      <x:c r="O45" s="24" t="str">
        <x:v>Chưa bắt đầu</x:v>
      </x:c>
      <x:c r="P45" s="24" t="str"/>
      <x:c r="Q45" s="24" t="str"/>
    </x:row>
    <x:row r="46" ht="44" customHeight="1">
      <x:c r="A46" s="28" t="str">
        <x:v>TK-042</x:v>
      </x:c>
      <x:c r="B46" s="28" t="n">
        <x:v>5</x:v>
      </x:c>
      <x:c r="C46" s="38" t="n">
        <x:f>'00 Tong quan'!$B$6+B46-1</x:f>
        <x:v>46321</x:v>
      </x:c>
      <x:c r="D46" s="28" t="str">
        <x:v>Phạm Ngọc Duy</x:v>
      </x:c>
      <x:c r="E46" s="28" t="str">
        <x:v>QA</x:v>
      </x:c>
      <x:c r="F46" s="28" t="str">
        <x:v>P0</x:v>
      </x:c>
      <x:c r="G46" s="28" t="str">
        <x:v>FR-PLT-02</x:v>
      </x:c>
      <x:c r="H46" s="28" t="str">
        <x:v>Security/cookie/Apache check</x:v>
      </x:c>
      <x:c r="I46" s="28" t="str">
        <x:v>CSP/header cookie, không public SQLite/token key.</x:v>
      </x:c>
      <x:c r="J46" s="28" t="str">
        <x:v>app.py; .htaccess</x:v>
      </x:c>
      <x:c r="K46" s="28" t="str">
        <x:v>Checklist và minh chứng Network tab.</x:v>
      </x:c>
      <x:c r="L46" s="28" t="str"/>
      <x:c r="M46" s="28" t="n">
        <x:v>1.5</x:v>
      </x:c>
      <x:c r="N46" s="28" t="str">
        <x:v>Đã có code V4 hoặc cần xác minh; không tự coi Done.</x:v>
      </x:c>
      <x:c r="O46" s="28" t="str">
        <x:v>Chưa bắt đầu</x:v>
      </x:c>
      <x:c r="P46" s="28" t="str"/>
      <x:c r="Q46" s="28" t="str"/>
    </x:row>
    <x:row r="47" ht="44" customHeight="1">
      <x:c r="A47" s="24" t="str">
        <x:v>TK-043</x:v>
      </x:c>
      <x:c r="B47" s="24" t="n">
        <x:v>5</x:v>
      </x:c>
      <x:c r="C47" s="34" t="n">
        <x:f>'00 Tong quan'!$B$6+B47-1</x:f>
        <x:v>46321</x:v>
      </x:c>
      <x:c r="D47" s="24" t="str">
        <x:v>Nguyễn Trọng Quý</x:v>
      </x:c>
      <x:c r="E47" s="24" t="str">
        <x:v>QA</x:v>
      </x:c>
      <x:c r="F47" s="24" t="str">
        <x:v>P0</x:v>
      </x:c>
      <x:c r="G47" s="24" t="str">
        <x:v>FR-CRW-07</x:v>
      </x:c>
      <x:c r="H47" s="24" t="str">
        <x:v>Đánh giá crawler politeness</x:v>
      </x:c>
      <x:c r="I47" s="24" t="str">
        <x:v>robots and throttle live log.</x:v>
      </x:c>
      <x:c r="J47" s="24" t="str">
        <x:v>settings.py; robots</x:v>
      </x:c>
      <x:c r="K47" s="24" t="str">
        <x:v>Không vi phạm robots; docs evidence.</x:v>
      </x:c>
      <x:c r="L47" s="24" t="str"/>
      <x:c r="M47" s="24" t="n">
        <x:v>1.5</x:v>
      </x:c>
      <x:c r="N47" s="24" t="str">
        <x:v>Đã có code V4 hoặc cần xác minh; không tự coi Done.</x:v>
      </x:c>
      <x:c r="O47" s="24" t="str">
        <x:v>Chưa bắt đầu</x:v>
      </x:c>
      <x:c r="P47" s="24" t="str"/>
      <x:c r="Q47" s="24" t="str"/>
    </x:row>
    <x:row r="48" ht="44" customHeight="1">
      <x:c r="A48" s="28" t="str">
        <x:v>TK-044</x:v>
      </x:c>
      <x:c r="B48" s="28" t="n">
        <x:v>5</x:v>
      </x:c>
      <x:c r="C48" s="38" t="n">
        <x:f>'00 Tong quan'!$B$6+B48-1</x:f>
        <x:v>46321</x:v>
      </x:c>
      <x:c r="D48" s="28" t="str">
        <x:v>Nguyễn Trọng Quý</x:v>
      </x:c>
      <x:c r="E48" s="28" t="str">
        <x:v>Test</x:v>
      </x:c>
      <x:c r="F48" s="28" t="str">
        <x:v>P0</x:v>
      </x:c>
      <x:c r="G48" s="28" t="str">
        <x:v>FR-CRW-11</x:v>
      </x:c>
      <x:c r="H48" s="28" t="str">
        <x:v>Thêm tests parser edges</x:v>
      </x:c>
      <x:c r="I48" s="28" t="str">
        <x:v>Missing image/UPC, unexpected rating, bad URL.</x:v>
      </x:c>
      <x:c r="J48" s="28" t="str">
        <x:v>tests/test_parser.py; test_spider.py</x:v>
      </x:c>
      <x:c r="K48" s="28" t="str">
        <x:v>Tests đạt; parser bỏ item xấu.</x:v>
      </x:c>
      <x:c r="L48" s="28" t="str"/>
      <x:c r="M48" s="28" t="n">
        <x:v>2</x:v>
      </x:c>
      <x:c r="N48" s="28" t="str">
        <x:v>Đã có code V4 hoặc cần xác minh; không tự coi Done.</x:v>
      </x:c>
      <x:c r="O48" s="28" t="str">
        <x:v>Chưa bắt đầu</x:v>
      </x:c>
      <x:c r="P48" s="28" t="str"/>
      <x:c r="Q48" s="28" t="str"/>
    </x:row>
    <x:row r="49" ht="44" customHeight="1">
      <x:c r="A49" s="24" t="str">
        <x:v>TK-045</x:v>
      </x:c>
      <x:c r="B49" s="24" t="n">
        <x:v>5</x:v>
      </x:c>
      <x:c r="C49" s="34" t="n">
        <x:f>'00 Tong quan'!$B$6+B49-1</x:f>
        <x:v>46321</x:v>
      </x:c>
      <x:c r="D49" s="24" t="str">
        <x:v>Nguyễn Trọng Quý</x:v>
      </x:c>
      <x:c r="E49" s="24" t="str">
        <x:v>QA</x:v>
      </x:c>
      <x:c r="F49" s="24" t="str">
        <x:v>P1</x:v>
      </x:c>
      <x:c r="G49" s="24" t="str">
        <x:v>FR-WSP-04</x:v>
      </x:c>
      <x:c r="H49" s="24" t="str">
        <x:v>Trang Source policy review</x:v>
      </x:c>
      <x:c r="I49" s="24" t="str">
        <x:v>Giải thích sandbox &amp; giới hạn host/1-3.</x:v>
      </x:c>
      <x:c r="J49" s="24" t="str">
        <x:v>sources.html; README</x:v>
      </x:c>
      <x:c r="K49" s="24" t="str">
        <x:v>Content đúng code và ethics.</x:v>
      </x:c>
      <x:c r="L49" s="24" t="str"/>
      <x:c r="M49" s="24" t="n">
        <x:v>1.5</x:v>
      </x:c>
      <x:c r="N49" s="24" t="str">
        <x:v>Đã có code V4 hoặc cần xác minh; không tự coi Done.</x:v>
      </x:c>
      <x:c r="O49" s="24" t="str">
        <x:v>Chưa bắt đầu</x:v>
      </x:c>
      <x:c r="P49" s="24" t="str"/>
      <x:c r="Q49" s="24" t="str"/>
    </x:row>
    <x:row r="50" ht="44" customHeight="1">
      <x:c r="A50" s="28" t="str">
        <x:v>TK-046</x:v>
      </x:c>
      <x:c r="B50" s="28" t="n">
        <x:v>6</x:v>
      </x:c>
      <x:c r="C50" s="38" t="n">
        <x:f>'00 Tong quan'!$B$6+B50-1</x:f>
        <x:v>46322</x:v>
      </x:c>
      <x:c r="D50" s="28" t="str">
        <x:v>Huy</x:v>
      </x:c>
      <x:c r="E50" s="28" t="str">
        <x:v>QA</x:v>
      </x:c>
      <x:c r="F50" s="28" t="str">
        <x:v>P0</x:v>
      </x:c>
      <x:c r="G50" s="28" t="str">
        <x:v>FR-USR-01</x:v>
      </x:c>
      <x:c r="H50" s="28" t="str">
        <x:v>I18n dynamic end-to-end</x:v>
      </x:c>
      <x:c r="I50" s="28" t="str">
        <x:v>Chạy qua mỗi page ở vi/en, fix các message hardcode.</x:v>
      </x:c>
      <x:c r="J50" s="28" t="str">
        <x:v>i18n.py; common.js</x:v>
      </x:c>
      <x:c r="K50" s="28" t="str">
        <x:v>Không thiếu translation chính, screenshot.</x:v>
      </x:c>
      <x:c r="L50" s="28" t="str"/>
      <x:c r="M50" s="28" t="n">
        <x:v>2</x:v>
      </x:c>
      <x:c r="N50" s="28" t="str">
        <x:v>Đã có code V4 hoặc cần xác minh; không tự coi Done.</x:v>
      </x:c>
      <x:c r="O50" s="28" t="str">
        <x:v>Chưa bắt đầu</x:v>
      </x:c>
      <x:c r="P50" s="28" t="str"/>
      <x:c r="Q50" s="28" t="str"/>
    </x:row>
    <x:row r="51" ht="44" customHeight="1">
      <x:c r="A51" s="24" t="str">
        <x:v>TK-047</x:v>
      </x:c>
      <x:c r="B51" s="24" t="n">
        <x:v>6</x:v>
      </x:c>
      <x:c r="C51" s="34" t="n">
        <x:f>'00 Tong quan'!$B$6+B51-1</x:f>
        <x:v>46322</x:v>
      </x:c>
      <x:c r="D51" s="24" t="str">
        <x:v>Huy</x:v>
      </x:c>
      <x:c r="E51" s="24" t="str">
        <x:v>QA</x:v>
      </x:c>
      <x:c r="F51" s="24" t="str">
        <x:v>P0</x:v>
      </x:c>
      <x:c r="G51" s="24" t="str">
        <x:v>FR-USR-02,FR-USR-03</x:v>
      </x:c>
      <x:c r="H51" s="24" t="str">
        <x:v>Personal settings end-to-end</x:v>
      </x:c>
      <x:c r="I51" s="24" t="str">
        <x:v>Theme, book_layout, profile refresh và login lại.</x:v>
      </x:c>
      <x:c r="J51" s="24" t="str">
        <x:v>settings.html; workspace-pages.js</x:v>
      </x:c>
      <x:c r="K51" s="24" t="str">
        <x:v>Preferences lưu riêng user.</x:v>
      </x:c>
      <x:c r="L51" s="24" t="str"/>
      <x:c r="M51" s="24" t="n">
        <x:v>1.5</x:v>
      </x:c>
      <x:c r="N51" s="24" t="str">
        <x:v>Đã có code V4 hoặc cần xác minh; không tự coi Done.</x:v>
      </x:c>
      <x:c r="O51" s="24" t="str">
        <x:v>Chưa bắt đầu</x:v>
      </x:c>
      <x:c r="P51" s="24" t="str"/>
      <x:c r="Q51" s="24" t="str"/>
    </x:row>
    <x:row r="52" ht="44" customHeight="1">
      <x:c r="A52" s="28" t="str">
        <x:v>TK-048</x:v>
      </x:c>
      <x:c r="B52" s="28" t="n">
        <x:v>6</x:v>
      </x:c>
      <x:c r="C52" s="38" t="n">
        <x:f>'00 Tong quan'!$B$6+B52-1</x:f>
        <x:v>46322</x:v>
      </x:c>
      <x:c r="D52" s="28" t="str">
        <x:v>Huy</x:v>
      </x:c>
      <x:c r="E52" s="28" t="str">
        <x:v>QA</x:v>
      </x:c>
      <x:c r="F52" s="28" t="str">
        <x:v>P1</x:v>
      </x:c>
      <x:c r="G52" s="28" t="str">
        <x:v>FR-WSP-03</x:v>
      </x:c>
      <x:c r="H52" s="28" t="str">
        <x:v>Analytics chart consistency</x:v>
      </x:c>
      <x:c r="I52" s="28" t="str">
        <x:v>Đối chiếu categories/price/rating với SQL.</x:v>
      </x:c>
      <x:c r="J52" s="28" t="str">
        <x:v>analytics.html; workspace-pages.js</x:v>
      </x:c>
      <x:c r="K52" s="28" t="str">
        <x:v>Số liệu đúng và ghi giá GBP.</x:v>
      </x:c>
      <x:c r="L52" s="28" t="str"/>
      <x:c r="M52" s="28" t="n">
        <x:v>1.5</x:v>
      </x:c>
      <x:c r="N52" s="28" t="str">
        <x:v>Đã có code V4 hoặc cần xác minh; không tự coi Done.</x:v>
      </x:c>
      <x:c r="O52" s="28" t="str">
        <x:v>Chưa bắt đầu</x:v>
      </x:c>
      <x:c r="P52" s="28" t="str"/>
      <x:c r="Q52" s="28" t="str"/>
    </x:row>
    <x:row r="53" ht="44" customHeight="1">
      <x:c r="A53" s="24" t="str">
        <x:v>TK-049</x:v>
      </x:c>
      <x:c r="B53" s="24" t="n">
        <x:v>6</x:v>
      </x:c>
      <x:c r="C53" s="34" t="n">
        <x:f>'00 Tong quan'!$B$6+B53-1</x:f>
        <x:v>46322</x:v>
      </x:c>
      <x:c r="D53" s="24" t="str">
        <x:v>Phạm Ngọc Duy</x:v>
      </x:c>
      <x:c r="E53" s="24" t="str">
        <x:v>QA</x:v>
      </x:c>
      <x:c r="F53" s="24" t="str">
        <x:v>P0</x:v>
      </x:c>
      <x:c r="G53" s="24" t="str">
        <x:v>FR-AUT-08,FR-PLT-01</x:v>
      </x:c>
      <x:c r="H53" s="24" t="str">
        <x:v>Security integration gate</x:v>
      </x:c>
      <x:c r="I53" s="24" t="str">
        <x:v>Rate limit, CSRF, session invalidation, auth guard.</x:v>
      </x:c>
      <x:c r="J53" s="24" t="str">
        <x:v>auth.py; security.py; tests/</x:v>
      </x:c>
      <x:c r="K53" s="24" t="str">
        <x:v>Zero critical auth issues.</x:v>
      </x:c>
      <x:c r="L53" s="24" t="str"/>
      <x:c r="M53" s="24" t="n">
        <x:v>2</x:v>
      </x:c>
      <x:c r="N53" s="24" t="str">
        <x:v>Đã có code V4 hoặc cần xác minh; không tự coi Done.</x:v>
      </x:c>
      <x:c r="O53" s="24" t="str">
        <x:v>Chưa bắt đầu</x:v>
      </x:c>
      <x:c r="P53" s="24" t="str"/>
      <x:c r="Q53" s="24" t="str"/>
    </x:row>
    <x:row r="54" ht="44" customHeight="1">
      <x:c r="A54" s="28" t="str">
        <x:v>TK-050</x:v>
      </x:c>
      <x:c r="B54" s="28" t="n">
        <x:v>6</x:v>
      </x:c>
      <x:c r="C54" s="38" t="n">
        <x:f>'00 Tong quan'!$B$6+B54-1</x:f>
        <x:v>46322</x:v>
      </x:c>
      <x:c r="D54" s="28" t="str">
        <x:v>Phạm Ngọc Duy</x:v>
      </x:c>
      <x:c r="E54" s="28" t="str">
        <x:v>QA</x:v>
      </x:c>
      <x:c r="F54" s="28" t="str">
        <x:v>P0</x:v>
      </x:c>
      <x:c r="G54" s="28" t="str">
        <x:v>FR-WSP-02</x:v>
      </x:c>
      <x:c r="H54" s="28" t="str">
        <x:v>History and job owner guard</x:v>
      </x:c>
      <x:c r="I54" s="28" t="str">
        <x:v>Hai user &amp; legacy jobs user_id NULL; trang cá nhân.</x:v>
      </x:c>
      <x:c r="J54" s="28" t="str">
        <x:v>workspace.py</x:v>
      </x:c>
      <x:c r="K54" s="28" t="str">
        <x:v>No cross-user data, legacy không gán nhầm.</x:v>
      </x:c>
      <x:c r="L54" s="28" t="str"/>
      <x:c r="M54" s="28" t="n">
        <x:v>1.5</x:v>
      </x:c>
      <x:c r="N54" s="28" t="str">
        <x:v>Đã có code V4 hoặc cần xác minh; không tự coi Done.</x:v>
      </x:c>
      <x:c r="O54" s="28" t="str">
        <x:v>Chưa bắt đầu</x:v>
      </x:c>
      <x:c r="P54" s="28" t="str"/>
      <x:c r="Q54" s="28" t="str"/>
    </x:row>
    <x:row r="55" ht="44" customHeight="1">
      <x:c r="A55" s="24" t="str">
        <x:v>TK-051</x:v>
      </x:c>
      <x:c r="B55" s="24" t="n">
        <x:v>6</x:v>
      </x:c>
      <x:c r="C55" s="34" t="n">
        <x:f>'00 Tong quan'!$B$6+B55-1</x:f>
        <x:v>46322</x:v>
      </x:c>
      <x:c r="D55" s="24" t="str">
        <x:v>Phạm Ngọc Duy</x:v>
      </x:c>
      <x:c r="E55" s="24" t="str">
        <x:v>Doc</x:v>
      </x:c>
      <x:c r="F55" s="24" t="str">
        <x:v>P0</x:v>
      </x:c>
      <x:c r="G55" s="24" t="str">
        <x:v>FR-PLT-04</x:v>
      </x:c>
      <x:c r="H55" s="24" t="str">
        <x:v>Freeze API/DB contracts</x:v>
      </x:c>
      <x:c r="I55" s="24" t="str">
        <x:v>Đánh dấu API stable, migration 005 nếu cần, không sửa 004.</x:v>
      </x:c>
      <x:c r="J55" s="24" t="str">
        <x:v>docs/API_V4.md; migrations</x:v>
      </x:c>
      <x:c r="K55" s="24" t="str">
        <x:v>Chốt contract và changelog, team signoff.</x:v>
      </x:c>
      <x:c r="L55" s="24" t="str"/>
      <x:c r="M55" s="24" t="n">
        <x:v>1.5</x:v>
      </x:c>
      <x:c r="N55" s="24" t="str">
        <x:v>Đã có code V4 hoặc cần xác minh; không tự coi Done.</x:v>
      </x:c>
      <x:c r="O55" s="24" t="str">
        <x:v>Chưa bắt đầu</x:v>
      </x:c>
      <x:c r="P55" s="24" t="str"/>
      <x:c r="Q55" s="24" t="str"/>
    </x:row>
    <x:row r="56" ht="44" customHeight="1">
      <x:c r="A56" s="28" t="str">
        <x:v>TK-052</x:v>
      </x:c>
      <x:c r="B56" s="28" t="n">
        <x:v>6</x:v>
      </x:c>
      <x:c r="C56" s="38" t="n">
        <x:f>'00 Tong quan'!$B$6+B56-1</x:f>
        <x:v>46322</x:v>
      </x:c>
      <x:c r="D56" s="28" t="str">
        <x:v>Nguyễn Trọng Quý</x:v>
      </x:c>
      <x:c r="E56" s="28" t="str">
        <x:v>QA</x:v>
      </x:c>
      <x:c r="F56" s="28" t="str">
        <x:v>P0</x:v>
      </x:c>
      <x:c r="G56" s="28" t="str">
        <x:v>FR-CRW-05</x:v>
      </x:c>
      <x:c r="H56" s="28" t="str">
        <x:v>Crawler complete regression</x:v>
      </x:c>
      <x:c r="I56" s="28" t="str">
        <x:v>Tái chạy live max_pages=1/2/3 có giới hạn.</x:v>
      </x:c>
      <x:c r="J56" s="28" t="str">
        <x:v>crawler/*; tests/</x:v>
      </x:c>
      <x:c r="K56" s="28" t="str">
        <x:v>Terminal state/counters consistent.</x:v>
      </x:c>
      <x:c r="L56" s="28" t="str"/>
      <x:c r="M56" s="28" t="n">
        <x:v>2</x:v>
      </x:c>
      <x:c r="N56" s="28" t="str">
        <x:v>Đã có code V4 hoặc cần xác minh; không tự coi Done.</x:v>
      </x:c>
      <x:c r="O56" s="28" t="str">
        <x:v>Chưa bắt đầu</x:v>
      </x:c>
      <x:c r="P56" s="28" t="str"/>
      <x:c r="Q56" s="28" t="str"/>
    </x:row>
    <x:row r="57" ht="44" customHeight="1">
      <x:c r="A57" s="24" t="str">
        <x:v>TK-053</x:v>
      </x:c>
      <x:c r="B57" s="24" t="n">
        <x:v>6</x:v>
      </x:c>
      <x:c r="C57" s="34" t="n">
        <x:f>'00 Tong quan'!$B$6+B57-1</x:f>
        <x:v>46322</x:v>
      </x:c>
      <x:c r="D57" s="24" t="str">
        <x:v>Nguyễn Trọng Quý</x:v>
      </x:c>
      <x:c r="E57" s="24" t="str">
        <x:v>Test</x:v>
      </x:c>
      <x:c r="F57" s="24" t="str">
        <x:v>P0</x:v>
      </x:c>
      <x:c r="G57" s="24" t="str">
        <x:v>FR-CRW-08</x:v>
      </x:c>
      <x:c r="H57" s="24" t="str">
        <x:v>DB race/integrity stress</x:v>
      </x:c>
      <x:c r="I57" s="24" t="str">
        <x:v>2 jobs, duplicate cards, invalid fields.</x:v>
      </x:c>
      <x:c r="J57" s="24" t="str">
        <x:v>tests/test_database_v3.py</x:v>
      </x:c>
      <x:c r="K57" s="24" t="str">
        <x:v>pytest db integrity 0 errors.</x:v>
      </x:c>
      <x:c r="L57" s="24" t="str"/>
      <x:c r="M57" s="24" t="n">
        <x:v>1.5</x:v>
      </x:c>
      <x:c r="N57" s="24" t="str">
        <x:v>Đã có code V4 hoặc cần xác minh; không tự coi Done.</x:v>
      </x:c>
      <x:c r="O57" s="24" t="str">
        <x:v>Chưa bắt đầu</x:v>
      </x:c>
      <x:c r="P57" s="24" t="str"/>
      <x:c r="Q57" s="24" t="str"/>
    </x:row>
    <x:row r="58" ht="44" customHeight="1">
      <x:c r="A58" s="28" t="str">
        <x:v>TK-054</x:v>
      </x:c>
      <x:c r="B58" s="28" t="n">
        <x:v>6</x:v>
      </x:c>
      <x:c r="C58" s="38" t="n">
        <x:f>'00 Tong quan'!$B$6+B58-1</x:f>
        <x:v>46322</x:v>
      </x:c>
      <x:c r="D58" s="28" t="str">
        <x:v>Nguyễn Trọng Quý</x:v>
      </x:c>
      <x:c r="E58" s="28" t="str">
        <x:v>Doc</x:v>
      </x:c>
      <x:c r="F58" s="28" t="str">
        <x:v>P1</x:v>
      </x:c>
      <x:c r="G58" s="28" t="str">
        <x:v>FR-CRW-09</x:v>
      </x:c>
      <x:c r="H58" s="28" t="str">
        <x:v>Job metrics acceptance note</x:v>
      </x:c>
      <x:c r="I58" s="28" t="str">
        <x:v>Giải thích books_found vs items_saved, catalogue vs requests.</x:v>
      </x:c>
      <x:c r="J58" s="28" t="str">
        <x:v>docs/ARCHITECTURE.md</x:v>
      </x:c>
      <x:c r="K58" s="28" t="str">
        <x:v>Ví dụ trên job thật.</x:v>
      </x:c>
      <x:c r="L58" s="28" t="str"/>
      <x:c r="M58" s="28" t="n">
        <x:v>1.5</x:v>
      </x:c>
      <x:c r="N58" s="28" t="str">
        <x:v>Đã có code V4 hoặc cần xác minh; không tự coi Done.</x:v>
      </x:c>
      <x:c r="O58" s="28" t="str">
        <x:v>Chưa bắt đầu</x:v>
      </x:c>
      <x:c r="P58" s="28" t="str"/>
      <x:c r="Q58" s="28" t="str"/>
    </x:row>
    <x:row r="59" ht="44" customHeight="1">
      <x:c r="A59" s="24" t="str">
        <x:v>TK-055</x:v>
      </x:c>
      <x:c r="B59" s="24" t="n">
        <x:v>7</x:v>
      </x:c>
      <x:c r="C59" s="34" t="n">
        <x:f>'00 Tong quan'!$B$6+B59-1</x:f>
        <x:v>46323</x:v>
      </x:c>
      <x:c r="D59" s="24" t="str">
        <x:v>Huy</x:v>
      </x:c>
      <x:c r="E59" s="24" t="str">
        <x:v>QA</x:v>
      </x:c>
      <x:c r="F59" s="24" t="str">
        <x:v>P0</x:v>
      </x:c>
      <x:c r="G59" s="24" t="str">
        <x:v>FR-WSP-06</x:v>
      </x:c>
      <x:c r="H59" s="24" t="str">
        <x:v>Visual QA Chrome/Edge responsive</x:v>
      </x:c>
      <x:c r="I59" s="24" t="str">
        <x:v>320/768/1366, keyboard, focus, modals, theme.</x:v>
      </x:c>
      <x:c r="J59" s="24" t="str">
        <x:v>templates; static</x:v>
      </x:c>
      <x:c r="K59" s="24" t="str">
        <x:v>Ảnh before/after và buglist closed.</x:v>
      </x:c>
      <x:c r="L59" s="24" t="str"/>
      <x:c r="M59" s="24" t="n">
        <x:v>2</x:v>
      </x:c>
      <x:c r="N59" s="24" t="str">
        <x:v>Đã có code V4 hoặc cần xác minh; không tự coi Done.</x:v>
      </x:c>
      <x:c r="O59" s="24" t="str">
        <x:v>Chưa bắt đầu</x:v>
      </x:c>
      <x:c r="P59" s="24" t="str"/>
      <x:c r="Q59" s="24" t="str"/>
    </x:row>
    <x:row r="60" ht="44" customHeight="1">
      <x:c r="A60" s="28" t="str">
        <x:v>TK-056</x:v>
      </x:c>
      <x:c r="B60" s="28" t="n">
        <x:v>7</x:v>
      </x:c>
      <x:c r="C60" s="38" t="n">
        <x:f>'00 Tong quan'!$B$6+B60-1</x:f>
        <x:v>46323</x:v>
      </x:c>
      <x:c r="D60" s="28" t="str">
        <x:v>Huy</x:v>
      </x:c>
      <x:c r="E60" s="28" t="str">
        <x:v>Polish</x:v>
      </x:c>
      <x:c r="F60" s="28" t="str">
        <x:v>P1</x:v>
      </x:c>
      <x:c r="G60" s="28" t="str">
        <x:v>FR-PUB-01</x:v>
      </x:c>
      <x:c r="H60" s="28" t="str">
        <x:v>Đọc lại copy landing/hướng dẫn</x:v>
      </x:c>
      <x:c r="I60" s="28" t="str">
        <x:v>Bỏ wording quá hứa, gắn giải thích demo nguồn sách GBP.</x:v>
      </x:c>
      <x:c r="J60" s="28" t="str">
        <x:v>templates/index.html; help.html</x:v>
      </x:c>
      <x:c r="K60" s="28" t="str">
        <x:v>Lời giới thiệu không ngộ nhận crawler đa nguồn.</x:v>
      </x:c>
      <x:c r="L60" s="28" t="str"/>
      <x:c r="M60" s="28" t="n">
        <x:v>1</x:v>
      </x:c>
      <x:c r="N60" s="28" t="str">
        <x:v>Đã có code V4 hoặc cần xác minh; không tự coi Done.</x:v>
      </x:c>
      <x:c r="O60" s="28" t="str">
        <x:v>Chưa bắt đầu</x:v>
      </x:c>
      <x:c r="P60" s="28" t="str"/>
      <x:c r="Q60" s="28" t="str"/>
    </x:row>
    <x:row r="61" ht="44" customHeight="1">
      <x:c r="A61" s="24" t="str">
        <x:v>TK-057</x:v>
      </x:c>
      <x:c r="B61" s="24" t="n">
        <x:v>7</x:v>
      </x:c>
      <x:c r="C61" s="34" t="n">
        <x:f>'00 Tong quan'!$B$6+B61-1</x:f>
        <x:v>46323</x:v>
      </x:c>
      <x:c r="D61" s="24" t="str">
        <x:v>Huy</x:v>
      </x:c>
      <x:c r="E61" s="24" t="str">
        <x:v>QA</x:v>
      </x:c>
      <x:c r="F61" s="24" t="str">
        <x:v>P1</x:v>
      </x:c>
      <x:c r="G61" s="24" t="str">
        <x:v>NFR-13</x:v>
      </x:c>
      <x:c r="H61" s="24" t="str">
        <x:v>Audit accessibility cơ bản</x:v>
      </x:c>
      <x:c r="I61" s="24" t="str">
        <x:v>Form labels, focus, color contrast, landmarks.</x:v>
      </x:c>
      <x:c r="J61" s="24" t="str">
        <x:v>templates; CSS</x:v>
      </x:c>
      <x:c r="K61" s="24" t="str">
        <x:v>Không blocker keyboard, checklist ghi kết quả.</x:v>
      </x:c>
      <x:c r="L61" s="24" t="str"/>
      <x:c r="M61" s="24" t="n">
        <x:v>2</x:v>
      </x:c>
      <x:c r="N61" s="24" t="str">
        <x:v>Đã có code V4 hoặc cần xác minh; không tự coi Done.</x:v>
      </x:c>
      <x:c r="O61" s="24" t="str">
        <x:v>Chưa bắt đầu</x:v>
      </x:c>
      <x:c r="P61" s="24" t="str"/>
      <x:c r="Q61" s="24" t="str"/>
    </x:row>
    <x:row r="62" ht="44" customHeight="1">
      <x:c r="A62" s="28" t="str">
        <x:v>TK-058</x:v>
      </x:c>
      <x:c r="B62" s="28" t="n">
        <x:v>7</x:v>
      </x:c>
      <x:c r="C62" s="38" t="n">
        <x:f>'00 Tong quan'!$B$6+B62-1</x:f>
        <x:v>46323</x:v>
      </x:c>
      <x:c r="D62" s="28" t="str">
        <x:v>Phạm Ngọc Duy</x:v>
      </x:c>
      <x:c r="E62" s="28" t="str">
        <x:v>QA</x:v>
      </x:c>
      <x:c r="F62" s="28" t="str">
        <x:v>P0</x:v>
      </x:c>
      <x:c r="G62" s="28" t="str">
        <x:v>FR-PLT-03</x:v>
      </x:c>
      <x:c r="H62" s="28" t="str">
        <x:v>Backup/restore drill</x:v>
      </x:c>
      <x:c r="I62" s="28" t="str">
        <x:v>Backup DB đang đóng hoặc SQLite backup, restore bản copy.</x:v>
      </x:c>
      <x:c r="J62" s="28" t="str">
        <x:v>database/tools/*</x:v>
      </x:c>
      <x:c r="K62" s="28" t="str">
        <x:v>Kết quả SELECT đối chiếu trước/sau.</x:v>
      </x:c>
      <x:c r="L62" s="28" t="str"/>
      <x:c r="M62" s="28" t="n">
        <x:v>2</x:v>
      </x:c>
      <x:c r="N62" s="28" t="str">
        <x:v>Đã có code V4 hoặc cần xác minh; không tự coi Done.</x:v>
      </x:c>
      <x:c r="O62" s="28" t="str">
        <x:v>Chưa bắt đầu</x:v>
      </x:c>
      <x:c r="P62" s="28" t="str"/>
      <x:c r="Q62" s="28" t="str"/>
    </x:row>
    <x:row r="63" ht="44" customHeight="1">
      <x:c r="A63" s="24" t="str">
        <x:v>TK-059</x:v>
      </x:c>
      <x:c r="B63" s="24" t="n">
        <x:v>7</x:v>
      </x:c>
      <x:c r="C63" s="34" t="n">
        <x:f>'00 Tong quan'!$B$6+B63-1</x:f>
        <x:v>46323</x:v>
      </x:c>
      <x:c r="D63" s="24" t="str">
        <x:v>Phạm Ngọc Duy</x:v>
      </x:c>
      <x:c r="E63" s="24" t="str">
        <x:v>Doc</x:v>
      </x:c>
      <x:c r="F63" s="24" t="str">
        <x:v>P0</x:v>
      </x:c>
      <x:c r="G63" s="24" t="str">
        <x:v>FR-PLT-04</x:v>
      </x:c>
      <x:c r="H63" s="24" t="str">
        <x:v>Hướng dẫn setup và troubleshooting</x:v>
      </x:c>
      <x:c r="I63" s="24" t="str">
        <x:v>Máy khác theo từng bước setup và common errors.</x:v>
      </x:c>
      <x:c r="J63" s="24" t="str">
        <x:v>README.md; scripts/</x:v>
      </x:c>
      <x:c r="K63" s="24" t="str">
        <x:v>Teammate chạy từ zip mới thành công.</x:v>
      </x:c>
      <x:c r="L63" s="24" t="str"/>
      <x:c r="M63" s="24" t="n">
        <x:v>1.5</x:v>
      </x:c>
      <x:c r="N63" s="24" t="str">
        <x:v>Đã có code V4 hoặc cần xác minh; không tự coi Done.</x:v>
      </x:c>
      <x:c r="O63" s="24" t="str">
        <x:v>Chưa bắt đầu</x:v>
      </x:c>
      <x:c r="P63" s="24" t="str"/>
      <x:c r="Q63" s="24" t="str"/>
    </x:row>
    <x:row r="64" ht="44" customHeight="1">
      <x:c r="A64" s="28" t="str">
        <x:v>TK-060</x:v>
      </x:c>
      <x:c r="B64" s="28" t="n">
        <x:v>7</x:v>
      </x:c>
      <x:c r="C64" s="38" t="n">
        <x:f>'00 Tong quan'!$B$6+B64-1</x:f>
        <x:v>46323</x:v>
      </x:c>
      <x:c r="D64" s="28" t="str">
        <x:v>Phạm Ngọc Duy</x:v>
      </x:c>
      <x:c r="E64" s="28" t="str">
        <x:v>QA</x:v>
      </x:c>
      <x:c r="F64" s="28" t="str">
        <x:v>P1</x:v>
      </x:c>
      <x:c r="G64" s="28" t="str">
        <x:v>NFR-07</x:v>
      </x:c>
      <x:c r="H64" s="28" t="str">
        <x:v>Đo API performance local</x:v>
      </x:c>
      <x:c r="I64" s="28" t="str">
        <x:v>Đo trang 100/1000 item; nêu kết quả thật.</x:v>
      </x:c>
      <x:c r="J64" s="28" t="str">
        <x:v>workspace.py; books.py</x:v>
      </x:c>
      <x:c r="K64" s="28" t="str">
        <x:v>CSV số đo baseline, no unsupported claim.</x:v>
      </x:c>
      <x:c r="L64" s="28" t="str"/>
      <x:c r="M64" s="28" t="n">
        <x:v>1.5</x:v>
      </x:c>
      <x:c r="N64" s="28" t="str">
        <x:v>Đã có code V4 hoặc cần xác minh; không tự coi Done.</x:v>
      </x:c>
      <x:c r="O64" s="28" t="str">
        <x:v>Chưa bắt đầu</x:v>
      </x:c>
      <x:c r="P64" s="28" t="str"/>
      <x:c r="Q64" s="28" t="str"/>
    </x:row>
    <x:row r="65" ht="44" customHeight="1">
      <x:c r="A65" s="24" t="str">
        <x:v>TK-061</x:v>
      </x:c>
      <x:c r="B65" s="24" t="n">
        <x:v>7</x:v>
      </x:c>
      <x:c r="C65" s="34" t="n">
        <x:f>'00 Tong quan'!$B$6+B65-1</x:f>
        <x:v>46323</x:v>
      </x:c>
      <x:c r="D65" s="24" t="str">
        <x:v>Nguyễn Trọng Quý</x:v>
      </x:c>
      <x:c r="E65" s="24" t="str">
        <x:v>QA</x:v>
      </x:c>
      <x:c r="F65" s="24" t="str">
        <x:v>P0</x:v>
      </x:c>
      <x:c r="G65" s="24" t="str">
        <x:v>FR-CRW-11</x:v>
      </x:c>
      <x:c r="H65" s="24" t="str">
        <x:v>Regression test full dependencies</x:v>
      </x:c>
      <x:c r="I65" s="24" t="str">
        <x:v>pip install và pytest -q trên máy.</x:v>
      </x:c>
      <x:c r="J65" s="24" t="str">
        <x:v>tests/*</x:v>
      </x:c>
      <x:c r="K65" s="24" t="str">
        <x:v>0 SKIP do dependency, lưu pytest log.</x:v>
      </x:c>
      <x:c r="L65" s="24" t="str"/>
      <x:c r="M65" s="24" t="n">
        <x:v>2</x:v>
      </x:c>
      <x:c r="N65" s="24" t="str">
        <x:v>Đã có code V4 hoặc cần xác minh; không tự coi Done.</x:v>
      </x:c>
      <x:c r="O65" s="24" t="str">
        <x:v>Chưa bắt đầu</x:v>
      </x:c>
      <x:c r="P65" s="24" t="str"/>
      <x:c r="Q65" s="24" t="str"/>
    </x:row>
    <x:row r="66" ht="44" customHeight="1">
      <x:c r="A66" s="28" t="str">
        <x:v>TK-062</x:v>
      </x:c>
      <x:c r="B66" s="28" t="n">
        <x:v>7</x:v>
      </x:c>
      <x:c r="C66" s="38" t="n">
        <x:f>'00 Tong quan'!$B$6+B66-1</x:f>
        <x:v>46323</x:v>
      </x:c>
      <x:c r="D66" s="28" t="str">
        <x:v>Nguyễn Trọng Quý</x:v>
      </x:c>
      <x:c r="E66" s="28" t="str">
        <x:v>Fix</x:v>
      </x:c>
      <x:c r="F66" s="28" t="str">
        <x:v>P1</x:v>
      </x:c>
      <x:c r="G66" s="28" t="str">
        <x:v>FR-CRW-12</x:v>
      </x:c>
      <x:c r="H66" s="28" t="str">
        <x:v>Lỗi quit/unexpected worker shutdown</x:v>
      </x:c>
      <x:c r="I66" s="28" t="str">
        <x:v>Sửa tình huống job treo nếu phát hiện, thêm test.</x:v>
      </x:c>
      <x:c r="J66" s="28" t="str">
        <x:v>recover_job.py; run_job.py</x:v>
      </x:c>
      <x:c r="K66" s="28" t="str">
        <x:v>Không kẹt PENDING/RUNNING sau recovery.</x:v>
      </x:c>
      <x:c r="L66" s="28" t="str"/>
      <x:c r="M66" s="28" t="n">
        <x:v>2</x:v>
      </x:c>
      <x:c r="N66" s="28" t="str">
        <x:v>Đã có code V4 hoặc cần xác minh; không tự coi Done.</x:v>
      </x:c>
      <x:c r="O66" s="28" t="str">
        <x:v>Chưa bắt đầu</x:v>
      </x:c>
      <x:c r="P66" s="28" t="str"/>
      <x:c r="Q66" s="28" t="str"/>
    </x:row>
    <x:row r="67" ht="44" customHeight="1">
      <x:c r="A67" s="24" t="str">
        <x:v>TK-063</x:v>
      </x:c>
      <x:c r="B67" s="24" t="n">
        <x:v>7</x:v>
      </x:c>
      <x:c r="C67" s="34" t="n">
        <x:f>'00 Tong quan'!$B$6+B67-1</x:f>
        <x:v>46323</x:v>
      </x:c>
      <x:c r="D67" s="24" t="str">
        <x:v>Nguyễn Trọng Quý</x:v>
      </x:c>
      <x:c r="E67" s="24" t="str">
        <x:v>QA</x:v>
      </x:c>
      <x:c r="F67" s="24" t="str">
        <x:v>P1</x:v>
      </x:c>
      <x:c r="G67" s="24" t="str">
        <x:v>NFR-14</x:v>
      </x:c>
      <x:c r="H67" s="24" t="str">
        <x:v>Log &amp; security review crawler</x:v>
      </x:c>
      <x:c r="I67" s="24" t="str">
        <x:v>Không log secrets/tokens; có jobID và error sanitized.</x:v>
      </x:c>
      <x:c r="J67" s="24" t="str">
        <x:v>crawler; logs</x:v>
      </x:c>
      <x:c r="K67" s="24" t="str">
        <x:v>Log sample an toàn.</x:v>
      </x:c>
      <x:c r="L67" s="24" t="str"/>
      <x:c r="M67" s="24" t="n">
        <x:v>1</x:v>
      </x:c>
      <x:c r="N67" s="24" t="str">
        <x:v>Đã có code V4 hoặc cần xác minh; không tự coi Done.</x:v>
      </x:c>
      <x:c r="O67" s="24" t="str">
        <x:v>Chưa bắt đầu</x:v>
      </x:c>
      <x:c r="P67" s="24" t="str"/>
      <x:c r="Q67" s="24" t="str"/>
    </x:row>
    <x:row r="68" ht="44" customHeight="1">
      <x:c r="A68" s="28" t="str">
        <x:v>TK-064</x:v>
      </x:c>
      <x:c r="B68" s="28" t="n">
        <x:v>8</x:v>
      </x:c>
      <x:c r="C68" s="38" t="n">
        <x:f>'00 Tong quan'!$B$6+B68-1</x:f>
        <x:v>46324</x:v>
      </x:c>
      <x:c r="D68" s="28" t="str">
        <x:v>Huy</x:v>
      </x:c>
      <x:c r="E68" s="28" t="str">
        <x:v>Doc</x:v>
      </x:c>
      <x:c r="F68" s="28" t="str">
        <x:v>P0</x:v>
      </x:c>
      <x:c r="G68" s="28" t="str">
        <x:v>NFR-15</x:v>
      </x:c>
      <x:c r="H68" s="28" t="str">
        <x:v>Soạn report 20–60 trang EN</x:v>
      </x:c>
      <x:c r="I68" s="28" t="str">
        <x:v>Bố cục lý thuyết, crawling, ethics, design, implementation, tests.</x:v>
      </x:c>
      <x:c r="J68" s="28" t="str">
        <x:v>docs/report/</x:v>
      </x:c>
      <x:c r="K68" s="28" t="str">
        <x:v>Bản nháp English 20–60 trang theo template khoa.</x:v>
      </x:c>
      <x:c r="L68" s="28" t="str"/>
      <x:c r="M68" s="28" t="n">
        <x:v>2</x:v>
      </x:c>
      <x:c r="N68" s="28" t="str">
        <x:v>Đã có code V4 hoặc cần xác minh; không tự coi Done.</x:v>
      </x:c>
      <x:c r="O68" s="28" t="str">
        <x:v>Chưa bắt đầu</x:v>
      </x:c>
      <x:c r="P68" s="28" t="str"/>
      <x:c r="Q68" s="28" t="str"/>
    </x:row>
    <x:row r="69" ht="44" customHeight="1">
      <x:c r="A69" s="24" t="str">
        <x:v>TK-065</x:v>
      </x:c>
      <x:c r="B69" s="24" t="n">
        <x:v>8</x:v>
      </x:c>
      <x:c r="C69" s="34" t="n">
        <x:f>'00 Tong quan'!$B$6+B69-1</x:f>
        <x:v>46324</x:v>
      </x:c>
      <x:c r="D69" s="24" t="str">
        <x:v>Huy</x:v>
      </x:c>
      <x:c r="E69" s="24" t="str">
        <x:v>Doc</x:v>
      </x:c>
      <x:c r="F69" s="24" t="str">
        <x:v>P0</x:v>
      </x:c>
      <x:c r="G69" s="24" t="str">
        <x:v>FR-WSP-01</x:v>
      </x:c>
      <x:c r="H69" s="24" t="str">
        <x:v>Ảnh chụp dashboard/flow demo thật</x:v>
      </x:c>
      <x:c r="I69" s="24" t="str">
        <x:v>Chụp landing/auth/crawl/books/data; tránh fixture.</x:v>
      </x:c>
      <x:c r="J69" s="24" t="str">
        <x:v>docs/screenshots/</x:v>
      </x:c>
      <x:c r="K69" s="24" t="str">
        <x:v>Ảnh đầy đủ và caption rõ nguồn.</x:v>
      </x:c>
      <x:c r="L69" s="24" t="str"/>
      <x:c r="M69" s="24" t="n">
        <x:v>1.5</x:v>
      </x:c>
      <x:c r="N69" s="24" t="str">
        <x:v>Đã có code V4 hoặc cần xác minh; không tự coi Done.</x:v>
      </x:c>
      <x:c r="O69" s="24" t="str">
        <x:v>Chưa bắt đầu</x:v>
      </x:c>
      <x:c r="P69" s="24" t="str"/>
      <x:c r="Q69" s="24" t="str"/>
    </x:row>
    <x:row r="70" ht="44" customHeight="1">
      <x:c r="A70" s="28" t="str">
        <x:v>TK-066</x:v>
      </x:c>
      <x:c r="B70" s="28" t="n">
        <x:v>8</x:v>
      </x:c>
      <x:c r="C70" s="38" t="n">
        <x:f>'00 Tong quan'!$B$6+B70-1</x:f>
        <x:v>46324</x:v>
      </x:c>
      <x:c r="D70" s="28" t="str">
        <x:v>Huy</x:v>
      </x:c>
      <x:c r="E70" s="28" t="str">
        <x:v>Doc</x:v>
      </x:c>
      <x:c r="F70" s="28" t="str">
        <x:v>P1</x:v>
      </x:c>
      <x:c r="G70" s="28" t="str">
        <x:v>NFR-10</x:v>
      </x:c>
      <x:c r="H70" s="28" t="str">
        <x:v>User guide dùng trên máy khác</x:v>
      </x:c>
      <x:c r="I70" s="28" t="str">
        <x:v>Viết kịch bản guest→register→crawl→books→saved.</x:v>
      </x:c>
      <x:c r="J70" s="28" t="str">
        <x:v>README; help.html</x:v>
      </x:c>
      <x:c r="K70" s="28" t="str">
        <x:v>Bạn khác làm theo không bị vướng.</x:v>
      </x:c>
      <x:c r="L70" s="28" t="str"/>
      <x:c r="M70" s="28" t="n">
        <x:v>1.5</x:v>
      </x:c>
      <x:c r="N70" s="28" t="str">
        <x:v>Đã có code V4 hoặc cần xác minh; không tự coi Done.</x:v>
      </x:c>
      <x:c r="O70" s="28" t="str">
        <x:v>Chưa bắt đầu</x:v>
      </x:c>
      <x:c r="P70" s="28" t="str"/>
      <x:c r="Q70" s="28" t="str"/>
    </x:row>
    <x:row r="71" ht="44" customHeight="1">
      <x:c r="A71" s="24" t="str">
        <x:v>TK-067</x:v>
      </x:c>
      <x:c r="B71" s="24" t="n">
        <x:v>8</x:v>
      </x:c>
      <x:c r="C71" s="34" t="n">
        <x:f>'00 Tong quan'!$B$6+B71-1</x:f>
        <x:v>46324</x:v>
      </x:c>
      <x:c r="D71" s="24" t="str">
        <x:v>Phạm Ngọc Duy</x:v>
      </x:c>
      <x:c r="E71" s="24" t="str">
        <x:v>Doc</x:v>
      </x:c>
      <x:c r="F71" s="24" t="str">
        <x:v>P0</x:v>
      </x:c>
      <x:c r="G71" s="24" t="str">
        <x:v>NFR-05</x:v>
      </x:c>
      <x:c r="H71" s="24" t="str">
        <x:v>Báo cáo security/API/DB</x:v>
      </x:c>
      <x:c r="I71" s="24" t="str">
        <x:v>Sơ đồ session/auth/CSRF, SQLite V4/migrations, bảng DB.</x:v>
      </x:c>
      <x:c r="J71" s="24" t="str">
        <x:v>docs/report; API_V4</x:v>
      </x:c>
      <x:c r="K71" s="24" t="str">
        <x:v>Bài báo cáo mô tả đúng source, không phóng đại.</x:v>
      </x:c>
      <x:c r="L71" s="24" t="str"/>
      <x:c r="M71" s="24" t="n">
        <x:v>2</x:v>
      </x:c>
      <x:c r="N71" s="24" t="str">
        <x:v>Đã có code V4 hoặc cần xác minh; không tự coi Done.</x:v>
      </x:c>
      <x:c r="O71" s="24" t="str">
        <x:v>Chưa bắt đầu</x:v>
      </x:c>
      <x:c r="P71" s="24" t="str"/>
      <x:c r="Q71" s="24" t="str"/>
    </x:row>
    <x:row r="72" ht="44" customHeight="1">
      <x:c r="A72" s="28" t="str">
        <x:v>TK-068</x:v>
      </x:c>
      <x:c r="B72" s="28" t="n">
        <x:v>8</x:v>
      </x:c>
      <x:c r="C72" s="38" t="n">
        <x:f>'00 Tong quan'!$B$6+B72-1</x:f>
        <x:v>46324</x:v>
      </x:c>
      <x:c r="D72" s="28" t="str">
        <x:v>Phạm Ngọc Duy</x:v>
      </x:c>
      <x:c r="E72" s="28" t="str">
        <x:v>Doc</x:v>
      </x:c>
      <x:c r="F72" s="28" t="str">
        <x:v>P1</x:v>
      </x:c>
      <x:c r="G72" s="28" t="str">
        <x:v>NFR-17</x:v>
      </x:c>
      <x:c r="H72" s="28" t="str">
        <x:v>Backup verification evidence</x:v>
      </x:c>
      <x:c r="I72" s="28" t="str">
        <x:v>Xuất ảnh database explorer demo (không chứa users thật).</x:v>
      </x:c>
      <x:c r="J72" s="28" t="str">
        <x:v>database tools; report</x:v>
      </x:c>
      <x:c r="K72" s="28" t="str">
        <x:v>Tư liệu report riêng không lộ dữ liệu nhạy cảm.</x:v>
      </x:c>
      <x:c r="L72" s="28" t="str"/>
      <x:c r="M72" s="28" t="n">
        <x:v>1</x:v>
      </x:c>
      <x:c r="N72" s="28" t="str">
        <x:v>Đã có code V4 hoặc cần xác minh; không tự coi Done.</x:v>
      </x:c>
      <x:c r="O72" s="28" t="str">
        <x:v>Chưa bắt đầu</x:v>
      </x:c>
      <x:c r="P72" s="28" t="str"/>
      <x:c r="Q72" s="28" t="str"/>
    </x:row>
    <x:row r="73" ht="44" customHeight="1">
      <x:c r="A73" s="24" t="str">
        <x:v>TK-069</x:v>
      </x:c>
      <x:c r="B73" s="24" t="n">
        <x:v>8</x:v>
      </x:c>
      <x:c r="C73" s="34" t="n">
        <x:f>'00 Tong quan'!$B$6+B73-1</x:f>
        <x:v>46324</x:v>
      </x:c>
      <x:c r="D73" s="24" t="str">
        <x:v>Phạm Ngọc Duy</x:v>
      </x:c>
      <x:c r="E73" s="24" t="str">
        <x:v>Doc</x:v>
      </x:c>
      <x:c r="F73" s="24" t="str">
        <x:v>P1</x:v>
      </x:c>
      <x:c r="G73" s="24" t="str">
        <x:v>FR-AUT-05</x:v>
      </x:c>
      <x:c r="H73" s="24" t="str">
        <x:v>Tài liệu cấu hình SMTP có bảo mật</x:v>
      </x:c>
      <x:c r="I73" s="24" t="str">
        <x:v>Hướng dẫn SMTP, local-only reset, security warnings.</x:v>
      </x:c>
      <x:c r="J73" s="24" t="str">
        <x:v>README.md; .env.example</x:v>
      </x:c>
      <x:c r="K73" s="24" t="str">
        <x:v>Không commit secret và email test được.</x:v>
      </x:c>
      <x:c r="L73" s="24" t="str"/>
      <x:c r="M73" s="24" t="n">
        <x:v>2</x:v>
      </x:c>
      <x:c r="N73" s="24" t="str">
        <x:v>Đã có code V4 hoặc cần xác minh; không tự coi Done.</x:v>
      </x:c>
      <x:c r="O73" s="24" t="str">
        <x:v>Chưa bắt đầu</x:v>
      </x:c>
      <x:c r="P73" s="24" t="str"/>
      <x:c r="Q73" s="24" t="str"/>
    </x:row>
    <x:row r="74" ht="44" customHeight="1">
      <x:c r="A74" s="28" t="str">
        <x:v>TK-070</x:v>
      </x:c>
      <x:c r="B74" s="28" t="n">
        <x:v>8</x:v>
      </x:c>
      <x:c r="C74" s="38" t="n">
        <x:f>'00 Tong quan'!$B$6+B74-1</x:f>
        <x:v>46324</x:v>
      </x:c>
      <x:c r="D74" s="28" t="str">
        <x:v>Nguyễn Trọng Quý</x:v>
      </x:c>
      <x:c r="E74" s="28" t="str">
        <x:v>Doc</x:v>
      </x:c>
      <x:c r="F74" s="28" t="str">
        <x:v>P0</x:v>
      </x:c>
      <x:c r="G74" s="28" t="str">
        <x:v>FR-CRW-05</x:v>
      </x:c>
      <x:c r="H74" s="28" t="str">
        <x:v>Báo cáo kỹ thuật crawling</x:v>
      </x:c>
      <x:c r="I74" s="28" t="str">
        <x:v>Spider, flow chart, next links, parser, robots, ethics.</x:v>
      </x:c>
      <x:c r="J74" s="28" t="str">
        <x:v>docs/report/</x:v>
      </x:c>
      <x:c r="K74" s="28" t="str">
        <x:v>Kèm log live và bản đồ crawler.</x:v>
      </x:c>
      <x:c r="L74" s="28" t="str"/>
      <x:c r="M74" s="28" t="n">
        <x:v>2</x:v>
      </x:c>
      <x:c r="N74" s="28" t="str">
        <x:v>Đã có code V4 hoặc cần xác minh; không tự coi Done.</x:v>
      </x:c>
      <x:c r="O74" s="28" t="str">
        <x:v>Chưa bắt đầu</x:v>
      </x:c>
      <x:c r="P74" s="28" t="str"/>
      <x:c r="Q74" s="28" t="str"/>
    </x:row>
    <x:row r="75" ht="44" customHeight="1">
      <x:c r="A75" s="24" t="str">
        <x:v>TK-071</x:v>
      </x:c>
      <x:c r="B75" s="24" t="n">
        <x:v>8</x:v>
      </x:c>
      <x:c r="C75" s="34" t="n">
        <x:f>'00 Tong quan'!$B$6+B75-1</x:f>
        <x:v>46324</x:v>
      </x:c>
      <x:c r="D75" s="24" t="str">
        <x:v>Nguyễn Trọng Quý</x:v>
      </x:c>
      <x:c r="E75" s="24" t="str">
        <x:v>Doc</x:v>
      </x:c>
      <x:c r="F75" s="24" t="str">
        <x:v>P0</x:v>
      </x:c>
      <x:c r="G75" s="24" t="str">
        <x:v>FR-CRW-08</x:v>
      </x:c>
      <x:c r="H75" s="24" t="str">
        <x:v>Chứng minh dữ liệu/SQL</x:v>
      </x:c>
      <x:c r="I75" s="24" t="str">
        <x:v>Screenshots job/pages/books/job_books/price history.</x:v>
      </x:c>
      <x:c r="J75" s="24" t="str">
        <x:v>docs/screenshots/; SQL_RECIPES</x:v>
      </x:c>
      <x:c r="K75" s="24" t="str">
        <x:v>SQL output khớp demo video.</x:v>
      </x:c>
      <x:c r="L75" s="24" t="str"/>
      <x:c r="M75" s="24" t="n">
        <x:v>1.5</x:v>
      </x:c>
      <x:c r="N75" s="24" t="str">
        <x:v>Đã có code V4 hoặc cần xác minh; không tự coi Done.</x:v>
      </x:c>
      <x:c r="O75" s="24" t="str">
        <x:v>Chưa bắt đầu</x:v>
      </x:c>
      <x:c r="P75" s="24" t="str"/>
      <x:c r="Q75" s="24" t="str"/>
    </x:row>
    <x:row r="76" ht="44" customHeight="1">
      <x:c r="A76" s="28" t="str">
        <x:v>TK-072</x:v>
      </x:c>
      <x:c r="B76" s="28" t="n">
        <x:v>8</x:v>
      </x:c>
      <x:c r="C76" s="38" t="n">
        <x:f>'00 Tong quan'!$B$6+B76-1</x:f>
        <x:v>46324</x:v>
      </x:c>
      <x:c r="D76" s="28" t="str">
        <x:v>Nguyễn Trọng Quý</x:v>
      </x:c>
      <x:c r="E76" s="28" t="str">
        <x:v>Doc</x:v>
      </x:c>
      <x:c r="F76" s="28" t="str">
        <x:v>P1</x:v>
      </x:c>
      <x:c r="G76" s="28" t="str">
        <x:v>FR-CRW-07</x:v>
      </x:c>
      <x:c r="H76" s="28" t="str">
        <x:v>So sánh crawler công nghệ</x:v>
      </x:c>
      <x:c r="I76" s="28" t="str">
        <x:v>Crawling vs scraping, Scrapy vs requests/BS4, ethical impacts.</x:v>
      </x:c>
      <x:c r="J76" s="28" t="str">
        <x:v>docs/report</x:v>
      </x:c>
      <x:c r="K76" s="28" t="str">
        <x:v>Phần comparative analysis học thuật.</x:v>
      </x:c>
      <x:c r="L76" s="28" t="str"/>
      <x:c r="M76" s="28" t="n">
        <x:v>1.5</x:v>
      </x:c>
      <x:c r="N76" s="28" t="str">
        <x:v>Đã có code V4 hoặc cần xác minh; không tự coi Done.</x:v>
      </x:c>
      <x:c r="O76" s="28" t="str">
        <x:v>Chưa bắt đầu</x:v>
      </x:c>
      <x:c r="P76" s="28" t="str"/>
      <x:c r="Q76" s="28" t="str"/>
    </x:row>
    <x:row r="77" ht="44" customHeight="1">
      <x:c r="A77" s="24" t="str">
        <x:v>TK-073</x:v>
      </x:c>
      <x:c r="B77" s="24" t="n">
        <x:v>9</x:v>
      </x:c>
      <x:c r="C77" s="34" t="n">
        <x:f>'00 Tong quan'!$B$6+B77-1</x:f>
        <x:v>46325</x:v>
      </x:c>
      <x:c r="D77" s="24" t="str">
        <x:v>Huy</x:v>
      </x:c>
      <x:c r="E77" s="24" t="str">
        <x:v>Doc</x:v>
      </x:c>
      <x:c r="F77" s="24" t="str">
        <x:v>P0</x:v>
      </x:c>
      <x:c r="G77" s="24" t="str">
        <x:v>NFR-10</x:v>
      </x:c>
      <x:c r="H77" s="24" t="str">
        <x:v>Hoàn thiện slide tiếng Anh</x:v>
      </x:c>
      <x:c r="I77" s="24" t="str">
        <x:v>Slide scope, architecture, crawler flow, data, test/evidence.</x:v>
      </x:c>
      <x:c r="J77" s="24" t="str">
        <x:v>presentation/; docs/report</x:v>
      </x:c>
      <x:c r="K77" s="24" t="str">
        <x:v>Slide và phần nói của 3 thành viên.</x:v>
      </x:c>
      <x:c r="L77" s="24" t="str"/>
      <x:c r="M77" s="24" t="n">
        <x:v>2</x:v>
      </x:c>
      <x:c r="N77" s="24" t="str">
        <x:v>Đã có code V4 hoặc cần xác minh; không tự coi Done.</x:v>
      </x:c>
      <x:c r="O77" s="24" t="str">
        <x:v>Chưa bắt đầu</x:v>
      </x:c>
      <x:c r="P77" s="24" t="str"/>
      <x:c r="Q77" s="24" t="str"/>
    </x:row>
    <x:row r="78" ht="44" customHeight="1">
      <x:c r="A78" s="28" t="str">
        <x:v>TK-074</x:v>
      </x:c>
      <x:c r="B78" s="28" t="n">
        <x:v>9</x:v>
      </x:c>
      <x:c r="C78" s="38" t="n">
        <x:f>'00 Tong quan'!$B$6+B78-1</x:f>
        <x:v>46325</x:v>
      </x:c>
      <x:c r="D78" s="28" t="str">
        <x:v>Huy</x:v>
      </x:c>
      <x:c r="E78" s="28" t="str">
        <x:v>QA</x:v>
      </x:c>
      <x:c r="F78" s="28" t="str">
        <x:v>P0</x:v>
      </x:c>
      <x:c r="G78" s="28" t="str">
        <x:v>NFR-11</x:v>
      </x:c>
      <x:c r="H78" s="28" t="str">
        <x:v>Quay rehearsal và test UI</x:v>
      </x:c>
      <x:c r="I78" s="28" t="str">
        <x:v>Run script end-to-end không giả dữ liệu, ghi issue.</x:v>
      </x:c>
      <x:c r="J78" s="28" t="str">
        <x:v>presentation; static</x:v>
      </x:c>
      <x:c r="K78" s="28" t="str">
        <x:v>Video thử và buglist sau rehearsal.</x:v>
      </x:c>
      <x:c r="L78" s="28" t="str"/>
      <x:c r="M78" s="28" t="n">
        <x:v>2</x:v>
      </x:c>
      <x:c r="N78" s="28" t="str">
        <x:v>Đã có code V4 hoặc cần xác minh; không tự coi Done.</x:v>
      </x:c>
      <x:c r="O78" s="28" t="str">
        <x:v>Chưa bắt đầu</x:v>
      </x:c>
      <x:c r="P78" s="28" t="str"/>
      <x:c r="Q78" s="28" t="str"/>
    </x:row>
    <x:row r="79" ht="44" customHeight="1">
      <x:c r="A79" s="24" t="str">
        <x:v>TK-075</x:v>
      </x:c>
      <x:c r="B79" s="24" t="n">
        <x:v>9</x:v>
      </x:c>
      <x:c r="C79" s="34" t="n">
        <x:f>'00 Tong quan'!$B$6+B79-1</x:f>
        <x:v>46325</x:v>
      </x:c>
      <x:c r="D79" s="24" t="str">
        <x:v>Huy</x:v>
      </x:c>
      <x:c r="E79" s="24" t="str">
        <x:v>Doc</x:v>
      </x:c>
      <x:c r="F79" s="24" t="str">
        <x:v>P0</x:v>
      </x:c>
      <x:c r="G79" s="24" t="str">
        <x:v>NFR-15</x:v>
      </x:c>
      <x:c r="H79" s="24" t="str">
        <x:v>Bảng nghiệm thu FR/TC cuối</x:v>
      </x:c>
      <x:c r="I79" s="24" t="str">
        <x:v>Đánh dấu chỉ khi có link evidence và reviewer.</x:v>
      </x:c>
      <x:c r="J79" s="24" t="str">
        <x:v>Excel; docs/</x:v>
      </x:c>
      <x:c r="K79" s="24" t="str">
        <x:v>Trace FR→TC→commit/pr.</x:v>
      </x:c>
      <x:c r="L79" s="24" t="str"/>
      <x:c r="M79" s="24" t="n">
        <x:v>1</x:v>
      </x:c>
      <x:c r="N79" s="24" t="str">
        <x:v>Đã có code V4 hoặc cần xác minh; không tự coi Done.</x:v>
      </x:c>
      <x:c r="O79" s="24" t="str">
        <x:v>Chưa bắt đầu</x:v>
      </x:c>
      <x:c r="P79" s="24" t="str"/>
      <x:c r="Q79" s="24" t="str"/>
    </x:row>
    <x:row r="80" ht="44" customHeight="1">
      <x:c r="A80" s="28" t="str">
        <x:v>TK-076</x:v>
      </x:c>
      <x:c r="B80" s="28" t="n">
        <x:v>9</x:v>
      </x:c>
      <x:c r="C80" s="38" t="n">
        <x:f>'00 Tong quan'!$B$6+B80-1</x:f>
        <x:v>46325</x:v>
      </x:c>
      <x:c r="D80" s="28" t="str">
        <x:v>Phạm Ngọc Duy</x:v>
      </x:c>
      <x:c r="E80" s="28" t="str">
        <x:v>QA</x:v>
      </x:c>
      <x:c r="F80" s="28" t="str">
        <x:v>P0</x:v>
      </x:c>
      <x:c r="G80" s="28" t="str">
        <x:v>NFR-05</x:v>
      </x:c>
      <x:c r="H80" s="28" t="str">
        <x:v>Review release security</x:v>
      </x:c>
      <x:c r="I80" s="28" t="str">
        <x:v>Review secret, localhost config, cookies, SMTP toggles.</x:v>
      </x:c>
      <x:c r="J80" s="28" t="str">
        <x:v>app.py; auth; .env</x:v>
      </x:c>
      <x:c r="K80" s="28" t="str">
        <x:v>Release checklist security signoff.</x:v>
      </x:c>
      <x:c r="L80" s="28" t="str"/>
      <x:c r="M80" s="28" t="n">
        <x:v>2</x:v>
      </x:c>
      <x:c r="N80" s="28" t="str">
        <x:v>Đã có code V4 hoặc cần xác minh; không tự coi Done.</x:v>
      </x:c>
      <x:c r="O80" s="28" t="str">
        <x:v>Chưa bắt đầu</x:v>
      </x:c>
      <x:c r="P80" s="28" t="str"/>
      <x:c r="Q80" s="28" t="str"/>
    </x:row>
    <x:row r="81" ht="44" customHeight="1">
      <x:c r="A81" s="24" t="str">
        <x:v>TK-077</x:v>
      </x:c>
      <x:c r="B81" s="24" t="n">
        <x:v>9</x:v>
      </x:c>
      <x:c r="C81" s="34" t="n">
        <x:f>'00 Tong quan'!$B$6+B81-1</x:f>
        <x:v>46325</x:v>
      </x:c>
      <x:c r="D81" s="24" t="str">
        <x:v>Phạm Ngọc Duy</x:v>
      </x:c>
      <x:c r="E81" s="24" t="str">
        <x:v>QA</x:v>
      </x:c>
      <x:c r="F81" s="24" t="str">
        <x:v>P0</x:v>
      </x:c>
      <x:c r="G81" s="24" t="str">
        <x:v>NFR-02</x:v>
      </x:c>
      <x:c r="H81" s="24" t="str">
        <x:v>DB consistency pre-release</x:v>
      </x:c>
      <x:c r="I81" s="24" t="str">
        <x:v>integrity_check/FK, migration_versions, backup.</x:v>
      </x:c>
      <x:c r="J81" s="24" t="str">
        <x:v>database/*</x:v>
      </x:c>
      <x:c r="K81" s="24" t="str">
        <x:v>SQL log kiểm tra cuối.</x:v>
      </x:c>
      <x:c r="L81" s="24" t="str"/>
      <x:c r="M81" s="24" t="n">
        <x:v>1.5</x:v>
      </x:c>
      <x:c r="N81" s="24" t="str">
        <x:v>Đã có code V4 hoặc cần xác minh; không tự coi Done.</x:v>
      </x:c>
      <x:c r="O81" s="24" t="str">
        <x:v>Chưa bắt đầu</x:v>
      </x:c>
      <x:c r="P81" s="24" t="str"/>
      <x:c r="Q81" s="24" t="str"/>
    </x:row>
    <x:row r="82" ht="44" customHeight="1">
      <x:c r="A82" s="28" t="str">
        <x:v>TK-078</x:v>
      </x:c>
      <x:c r="B82" s="28" t="n">
        <x:v>9</x:v>
      </x:c>
      <x:c r="C82" s="38" t="n">
        <x:f>'00 Tong quan'!$B$6+B82-1</x:f>
        <x:v>46325</x:v>
      </x:c>
      <x:c r="D82" s="28" t="str">
        <x:v>Phạm Ngọc Duy</x:v>
      </x:c>
      <x:c r="E82" s="28" t="str">
        <x:v>QA</x:v>
      </x:c>
      <x:c r="F82" s="28" t="str">
        <x:v>P0</x:v>
      </x:c>
      <x:c r="G82" s="28" t="str">
        <x:v>NFR-06</x:v>
      </x:c>
      <x:c r="H82" s="28" t="str">
        <x:v>Cài đặt từ ZIP sạch trên Windows</x:v>
      </x:c>
      <x:c r="I82" s="28" t="str">
        <x:v>Không dùng venv cũ/DB demo, chạy release candidate.</x:v>
      </x:c>
      <x:c r="J82" s="28" t="str">
        <x:v>scripts; zip</x:v>
      </x:c>
      <x:c r="K82" s="28" t="str">
        <x:v>Bằng chứng clean install.</x:v>
      </x:c>
      <x:c r="L82" s="28" t="str"/>
      <x:c r="M82" s="28" t="n">
        <x:v>1.5</x:v>
      </x:c>
      <x:c r="N82" s="28" t="str">
        <x:v>Đã có code V4 hoặc cần xác minh; không tự coi Done.</x:v>
      </x:c>
      <x:c r="O82" s="28" t="str">
        <x:v>Chưa bắt đầu</x:v>
      </x:c>
      <x:c r="P82" s="28" t="str"/>
      <x:c r="Q82" s="28" t="str"/>
    </x:row>
    <x:row r="83" ht="44" customHeight="1">
      <x:c r="A83" s="24" t="str">
        <x:v>TK-079</x:v>
      </x:c>
      <x:c r="B83" s="24" t="n">
        <x:v>9</x:v>
      </x:c>
      <x:c r="C83" s="34" t="n">
        <x:f>'00 Tong quan'!$B$6+B83-1</x:f>
        <x:v>46325</x:v>
      </x:c>
      <x:c r="D83" s="24" t="str">
        <x:v>Nguyễn Trọng Quý</x:v>
      </x:c>
      <x:c r="E83" s="24" t="str">
        <x:v>QA</x:v>
      </x:c>
      <x:c r="F83" s="24" t="str">
        <x:v>P0</x:v>
      </x:c>
      <x:c r="G83" s="24" t="str">
        <x:v>NFR-15</x:v>
      </x:c>
      <x:c r="H83" s="24" t="str">
        <x:v>Full tests + crawl live cuối</x:v>
      </x:c>
      <x:c r="I83" s="24" t="str">
        <x:v>1 page + 2 page live và tất cả tests.</x:v>
      </x:c>
      <x:c r="J83" s="24" t="str">
        <x:v>pytest; crawler</x:v>
      </x:c>
      <x:c r="K83" s="24" t="str">
        <x:v>Result log green, live evidence.</x:v>
      </x:c>
      <x:c r="L83" s="24" t="str"/>
      <x:c r="M83" s="24" t="n">
        <x:v>2</x:v>
      </x:c>
      <x:c r="N83" s="24" t="str">
        <x:v>Đã có code V4 hoặc cần xác minh; không tự coi Done.</x:v>
      </x:c>
      <x:c r="O83" s="24" t="str">
        <x:v>Chưa bắt đầu</x:v>
      </x:c>
      <x:c r="P83" s="24" t="str"/>
      <x:c r="Q83" s="24" t="str"/>
    </x:row>
    <x:row r="84" ht="44" customHeight="1">
      <x:c r="A84" s="28" t="str">
        <x:v>TK-080</x:v>
      </x:c>
      <x:c r="B84" s="28" t="n">
        <x:v>9</x:v>
      </x:c>
      <x:c r="C84" s="38" t="n">
        <x:f>'00 Tong quan'!$B$6+B84-1</x:f>
        <x:v>46325</x:v>
      </x:c>
      <x:c r="D84" s="28" t="str">
        <x:v>Nguyễn Trọng Quý</x:v>
      </x:c>
      <x:c r="E84" s="28" t="str">
        <x:v>Fix</x:v>
      </x:c>
      <x:c r="F84" s="28" t="str">
        <x:v>P0</x:v>
      </x:c>
      <x:c r="G84" s="28" t="str">
        <x:v>FR-CRW-11</x:v>
      </x:c>
      <x:c r="H84" s="28" t="str">
        <x:v>Bugfix crawler cuối</x:v>
      </x:c>
      <x:c r="I84" s="28" t="str">
        <x:v>Sửa P0/P1 có tái hiện, không scope creep.</x:v>
      </x:c>
      <x:c r="J84" s="28" t="str">
        <x:v>crawler/*; tests/*</x:v>
      </x:c>
      <x:c r="K84" s="28" t="str">
        <x:v>Commit + test regression pass.</x:v>
      </x:c>
      <x:c r="L84" s="28" t="str"/>
      <x:c r="M84" s="28" t="n">
        <x:v>2</x:v>
      </x:c>
      <x:c r="N84" s="28" t="str">
        <x:v>Đã có code V4 hoặc cần xác minh; không tự coi Done.</x:v>
      </x:c>
      <x:c r="O84" s="28" t="str">
        <x:v>Chưa bắt đầu</x:v>
      </x:c>
      <x:c r="P84" s="28" t="str"/>
      <x:c r="Q84" s="28" t="str"/>
    </x:row>
    <x:row r="85" ht="44" customHeight="1">
      <x:c r="A85" s="24" t="str">
        <x:v>TK-081</x:v>
      </x:c>
      <x:c r="B85" s="24" t="n">
        <x:v>9</x:v>
      </x:c>
      <x:c r="C85" s="34" t="n">
        <x:f>'00 Tong quan'!$B$6+B85-1</x:f>
        <x:v>46325</x:v>
      </x:c>
      <x:c r="D85" s="24" t="str">
        <x:v>Nguyễn Trọng Quý</x:v>
      </x:c>
      <x:c r="E85" s="24" t="str">
        <x:v>Doc</x:v>
      </x:c>
      <x:c r="F85" s="24" t="str">
        <x:v>P1</x:v>
      </x:c>
      <x:c r="G85" s="24" t="str">
        <x:v>NFR-14</x:v>
      </x:c>
      <x:c r="H85" s="24" t="str">
        <x:v>Thu thập log minh chứng video</x:v>
      </x:c>
      <x:c r="I85" s="24" t="str">
        <x:v>Lưu log đã làm sạch để giải thích.</x:v>
      </x:c>
      <x:c r="J85" s="24" t="str">
        <x:v>docs/screenshots; logs</x:v>
      </x:c>
      <x:c r="K85" s="24" t="str">
        <x:v>Snapshot chính xác, không leak credentials.</x:v>
      </x:c>
      <x:c r="L85" s="24" t="str"/>
      <x:c r="M85" s="24" t="n">
        <x:v>1</x:v>
      </x:c>
      <x:c r="N85" s="24" t="str">
        <x:v>Đã có code V4 hoặc cần xác minh; không tự coi Done.</x:v>
      </x:c>
      <x:c r="O85" s="24" t="str">
        <x:v>Chưa bắt đầu</x:v>
      </x:c>
      <x:c r="P85" s="24" t="str"/>
      <x:c r="Q85" s="24" t="str"/>
    </x:row>
    <x:row r="86" ht="44" customHeight="1">
      <x:c r="A86" s="28" t="str">
        <x:v>TK-082</x:v>
      </x:c>
      <x:c r="B86" s="28" t="n">
        <x:v>10</x:v>
      </x:c>
      <x:c r="C86" s="38" t="n">
        <x:f>'00 Tong quan'!$B$6+B86-1</x:f>
        <x:v>46326</x:v>
      </x:c>
      <x:c r="D86" s="28" t="str">
        <x:v>Huy</x:v>
      </x:c>
      <x:c r="E86" s="28" t="str">
        <x:v>Doc</x:v>
      </x:c>
      <x:c r="F86" s="28" t="str">
        <x:v>P0</x:v>
      </x:c>
      <x:c r="G86" s="28" t="str">
        <x:v>NFR-10</x:v>
      </x:c>
      <x:c r="H86" s="28" t="str">
        <x:v>Quay video demo &lt;=20 phút (3 người)</x:v>
      </x:c>
      <x:c r="I86" s="28" t="str">
        <x:v>Ghép lý thuyết, kiến trúc, demo UI/crawl, vai trò từng người.</x:v>
      </x:c>
      <x:c r="J86" s="28" t="str">
        <x:v>presentation/</x:v>
      </x:c>
      <x:c r="K86" s="28" t="str">
        <x:v>Video có tiếng, tất cả 3 xuất hiện/trình bày.</x:v>
      </x:c>
      <x:c r="L86" s="28" t="str"/>
      <x:c r="M86" s="28" t="n">
        <x:v>2</x:v>
      </x:c>
      <x:c r="N86" s="28" t="str">
        <x:v>Đã có code V4 hoặc cần xác minh; không tự coi Done.</x:v>
      </x:c>
      <x:c r="O86" s="28" t="str">
        <x:v>Chưa bắt đầu</x:v>
      </x:c>
      <x:c r="P86" s="28" t="str"/>
      <x:c r="Q86" s="28" t="str"/>
    </x:row>
    <x:row r="87" ht="44" customHeight="1">
      <x:c r="A87" s="24" t="str">
        <x:v>TK-083</x:v>
      </x:c>
      <x:c r="B87" s="24" t="n">
        <x:v>10</x:v>
      </x:c>
      <x:c r="C87" s="34" t="n">
        <x:f>'00 Tong quan'!$B$6+B87-1</x:f>
        <x:v>46326</x:v>
      </x:c>
      <x:c r="D87" s="24" t="str">
        <x:v>Huy</x:v>
      </x:c>
      <x:c r="E87" s="24" t="str">
        <x:v>QA</x:v>
      </x:c>
      <x:c r="F87" s="24" t="str">
        <x:v>P0</x:v>
      </x:c>
      <x:c r="G87" s="24" t="str">
        <x:v>NFR-15</x:v>
      </x:c>
      <x:c r="H87" s="24" t="str">
        <x:v>Final acceptance signoff</x:v>
      </x:c>
      <x:c r="I87" s="24" t="str">
        <x:v>Chốt bảng test và lỗi known; không tự mark pass.</x:v>
      </x:c>
      <x:c r="J87" s="24" t="str">
        <x:v>Excel; README</x:v>
      </x:c>
      <x:c r="K87" s="24" t="str">
        <x:v>Nghiệm thu kèm link video/ảnh/test.</x:v>
      </x:c>
      <x:c r="L87" s="24" t="str"/>
      <x:c r="M87" s="24" t="n">
        <x:v>1.5</x:v>
      </x:c>
      <x:c r="N87" s="24" t="str">
        <x:v>Đã có code V4 hoặc cần xác minh; không tự coi Done.</x:v>
      </x:c>
      <x:c r="O87" s="24" t="str">
        <x:v>Chưa bắt đầu</x:v>
      </x:c>
      <x:c r="P87" s="24" t="str"/>
      <x:c r="Q87" s="24" t="str"/>
    </x:row>
    <x:row r="88" ht="44" customHeight="1">
      <x:c r="A88" s="28" t="str">
        <x:v>TK-084</x:v>
      </x:c>
      <x:c r="B88" s="28" t="n">
        <x:v>10</x:v>
      </x:c>
      <x:c r="C88" s="38" t="n">
        <x:f>'00 Tong quan'!$B$6+B88-1</x:f>
        <x:v>46326</x:v>
      </x:c>
      <x:c r="D88" s="28" t="str">
        <x:v>Huy</x:v>
      </x:c>
      <x:c r="E88" s="28" t="str">
        <x:v>Doc</x:v>
      </x:c>
      <x:c r="F88" s="28" t="str">
        <x:v>P0</x:v>
      </x:c>
      <x:c r="G88" s="28" t="str">
        <x:v>NFR-10</x:v>
      </x:c>
      <x:c r="H88" s="28" t="str">
        <x:v>Đóng gói source + Word/PDF</x:v>
      </x:c>
      <x:c r="I88" s="28" t="str">
        <x:v>ZIP không có .env/key/DB runtime, SRS/Excel/Word/PDF đầy đủ.</x:v>
      </x:c>
      <x:c r="J88" s="28" t="str">
        <x:v>docs/report; README; git</x:v>
      </x:c>
      <x:c r="K88" s="28" t="str">
        <x:v>Release zip và manifest bàn giao.</x:v>
      </x:c>
      <x:c r="L88" s="28" t="str"/>
      <x:c r="M88" s="28" t="n">
        <x:v>1.5</x:v>
      </x:c>
      <x:c r="N88" s="28" t="str">
        <x:v>Đã có code V4 hoặc cần xác minh; không tự coi Done.</x:v>
      </x:c>
      <x:c r="O88" s="28" t="str">
        <x:v>Chưa bắt đầu</x:v>
      </x:c>
      <x:c r="P88" s="28" t="str"/>
      <x:c r="Q88" s="28" t="str"/>
    </x:row>
    <x:row r="89" ht="44" customHeight="1">
      <x:c r="A89" s="24" t="str">
        <x:v>TK-085</x:v>
      </x:c>
      <x:c r="B89" s="24" t="n">
        <x:v>10</x:v>
      </x:c>
      <x:c r="C89" s="34" t="n">
        <x:f>'00 Tong quan'!$B$6+B89-1</x:f>
        <x:v>46326</x:v>
      </x:c>
      <x:c r="D89" s="24" t="str">
        <x:v>Phạm Ngọc Duy</x:v>
      </x:c>
      <x:c r="E89" s="24" t="str">
        <x:v>QA</x:v>
      </x:c>
      <x:c r="F89" s="24" t="str">
        <x:v>P0</x:v>
      </x:c>
      <x:c r="G89" s="24" t="str">
        <x:v>NFR-05</x:v>
      </x:c>
      <x:c r="H89" s="24" t="str">
        <x:v>Security release gate</x:v>
      </x:c>
      <x:c r="I89" s="24" t="str">
        <x:v>Xác nhận reset local off, debug off, tests auth green.</x:v>
      </x:c>
      <x:c r="J89" s="24" t="str">
        <x:v>app.py; src/web/*</x:v>
      </x:c>
      <x:c r="K89" s="24" t="str">
        <x:v>Checklist ký nhận P0 security.</x:v>
      </x:c>
      <x:c r="L89" s="24" t="str"/>
      <x:c r="M89" s="24" t="n">
        <x:v>2</x:v>
      </x:c>
      <x:c r="N89" s="24" t="str">
        <x:v>Đã có code V4 hoặc cần xác minh; không tự coi Done.</x:v>
      </x:c>
      <x:c r="O89" s="24" t="str">
        <x:v>Chưa bắt đầu</x:v>
      </x:c>
      <x:c r="P89" s="24" t="str"/>
      <x:c r="Q89" s="24" t="str"/>
    </x:row>
    <x:row r="90" ht="44" customHeight="1">
      <x:c r="A90" s="28" t="str">
        <x:v>TK-086</x:v>
      </x:c>
      <x:c r="B90" s="28" t="n">
        <x:v>10</x:v>
      </x:c>
      <x:c r="C90" s="38" t="n">
        <x:f>'00 Tong quan'!$B$6+B90-1</x:f>
        <x:v>46326</x:v>
      </x:c>
      <x:c r="D90" s="28" t="str">
        <x:v>Phạm Ngọc Duy</x:v>
      </x:c>
      <x:c r="E90" s="28" t="str">
        <x:v>QA</x:v>
      </x:c>
      <x:c r="F90" s="28" t="str">
        <x:v>P0</x:v>
      </x:c>
      <x:c r="G90" s="28" t="str">
        <x:v>NFR-02</x:v>
      </x:c>
      <x:c r="H90" s="28" t="str">
        <x:v>Database migration and restore gate</x:v>
      </x:c>
      <x:c r="I90" s="28" t="str">
        <x:v>Kiểm backup/migrate, schema view, integrity, privacy.</x:v>
      </x:c>
      <x:c r="J90" s="28" t="str">
        <x:v>database/*</x:v>
      </x:c>
      <x:c r="K90" s="28" t="str">
        <x:v>Checklist DB có log, không lộ personal data.</x:v>
      </x:c>
      <x:c r="L90" s="28" t="str"/>
      <x:c r="M90" s="28" t="n">
        <x:v>1.5</x:v>
      </x:c>
      <x:c r="N90" s="28" t="str">
        <x:v>Đã có code V4 hoặc cần xác minh; không tự coi Done.</x:v>
      </x:c>
      <x:c r="O90" s="28" t="str">
        <x:v>Chưa bắt đầu</x:v>
      </x:c>
      <x:c r="P90" s="28" t="str"/>
      <x:c r="Q90" s="28" t="str"/>
    </x:row>
    <x:row r="91" ht="44" customHeight="1">
      <x:c r="A91" s="24" t="str">
        <x:v>TK-087</x:v>
      </x:c>
      <x:c r="B91" s="24" t="n">
        <x:v>10</x:v>
      </x:c>
      <x:c r="C91" s="34" t="n">
        <x:f>'00 Tong quan'!$B$6+B91-1</x:f>
        <x:v>46326</x:v>
      </x:c>
      <x:c r="D91" s="24" t="str">
        <x:v>Phạm Ngọc Duy</x:v>
      </x:c>
      <x:c r="E91" s="24" t="str">
        <x:v>QA</x:v>
      </x:c>
      <x:c r="F91" s="24" t="str">
        <x:v>P0</x:v>
      </x:c>
      <x:c r="G91" s="24" t="str">
        <x:v>NFR-06</x:v>
      </x:c>
      <x:c r="H91" s="24" t="str">
        <x:v>Hỗ trợ demo trên máy trình bày</x:v>
      </x:c>
      <x:c r="I91" s="24" t="str">
        <x:v>Máy trình chiếu chạy được, chuẩn bị fallback offline test DB.</x:v>
      </x:c>
      <x:c r="J91" s="24" t="str">
        <x:v>setup; README</x:v>
      </x:c>
      <x:c r="K91" s="24" t="str">
        <x:v>Check môi trường và port trước quay.</x:v>
      </x:c>
      <x:c r="L91" s="24" t="str"/>
      <x:c r="M91" s="24" t="n">
        <x:v>1.5</x:v>
      </x:c>
      <x:c r="N91" s="24" t="str">
        <x:v>Đã có code V4 hoặc cần xác minh; không tự coi Done.</x:v>
      </x:c>
      <x:c r="O91" s="24" t="str">
        <x:v>Chưa bắt đầu</x:v>
      </x:c>
      <x:c r="P91" s="24" t="str"/>
      <x:c r="Q91" s="24" t="str"/>
    </x:row>
    <x:row r="92" ht="44" customHeight="1">
      <x:c r="A92" s="28" t="str">
        <x:v>TK-088</x:v>
      </x:c>
      <x:c r="B92" s="28" t="n">
        <x:v>10</x:v>
      </x:c>
      <x:c r="C92" s="38" t="n">
        <x:f>'00 Tong quan'!$B$6+B92-1</x:f>
        <x:v>46326</x:v>
      </x:c>
      <x:c r="D92" s="28" t="str">
        <x:v>Nguyễn Trọng Quý</x:v>
      </x:c>
      <x:c r="E92" s="28" t="str">
        <x:v>QA</x:v>
      </x:c>
      <x:c r="F92" s="28" t="str">
        <x:v>P0</x:v>
      </x:c>
      <x:c r="G92" s="28" t="str">
        <x:v>FR-CRW-05</x:v>
      </x:c>
      <x:c r="H92" s="28" t="str">
        <x:v>End-to-end final spider verification</x:v>
      </x:c>
      <x:c r="I92" s="28" t="str">
        <x:v>Crawl live 1/2 pages, compare page counters/db.</x:v>
      </x:c>
      <x:c r="J92" s="28" t="str">
        <x:v>crawler/*; tests/*</x:v>
      </x:c>
      <x:c r="K92" s="28" t="str">
        <x:v>Bằng chứng end-to-end cuối.</x:v>
      </x:c>
      <x:c r="L92" s="28" t="str"/>
      <x:c r="M92" s="28" t="n">
        <x:v>2</x:v>
      </x:c>
      <x:c r="N92" s="28" t="str">
        <x:v>Đã có code V4 hoặc cần xác minh; không tự coi Done.</x:v>
      </x:c>
      <x:c r="O92" s="28" t="str">
        <x:v>Chưa bắt đầu</x:v>
      </x:c>
      <x:c r="P92" s="28" t="str"/>
      <x:c r="Q92" s="28" t="str"/>
    </x:row>
    <x:row r="93" ht="44" customHeight="1">
      <x:c r="A93" s="24" t="str">
        <x:v>TK-089</x:v>
      </x:c>
      <x:c r="B93" s="24" t="n">
        <x:v>10</x:v>
      </x:c>
      <x:c r="C93" s="34" t="n">
        <x:f>'00 Tong quan'!$B$6+B93-1</x:f>
        <x:v>46326</x:v>
      </x:c>
      <x:c r="D93" s="24" t="str">
        <x:v>Nguyễn Trọng Quý</x:v>
      </x:c>
      <x:c r="E93" s="24" t="str">
        <x:v>QA</x:v>
      </x:c>
      <x:c r="F93" s="24" t="str">
        <x:v>P0</x:v>
      </x:c>
      <x:c r="G93" s="24" t="str">
        <x:v>NFR-15</x:v>
      </x:c>
      <x:c r="H93" s="24" t="str">
        <x:v>Chạy pytest cuối và review PR</x:v>
      </x:c>
      <x:c r="I93" s="24" t="str">
        <x:v>Kết quả pytest, conflict-free branch, merge approved.</x:v>
      </x:c>
      <x:c r="J93" s="24" t="str">
        <x:v>tests/*; branches</x:v>
      </x:c>
      <x:c r="K93" s="24" t="str">
        <x:v>Log test và PR review.</x:v>
      </x:c>
      <x:c r="L93" s="24" t="str"/>
      <x:c r="M93" s="24" t="n">
        <x:v>1.5</x:v>
      </x:c>
      <x:c r="N93" s="24" t="str">
        <x:v>Đã có code V4 hoặc cần xác minh; không tự coi Done.</x:v>
      </x:c>
      <x:c r="O93" s="24" t="str">
        <x:v>Chưa bắt đầu</x:v>
      </x:c>
      <x:c r="P93" s="24" t="str"/>
      <x:c r="Q93" s="24" t="str"/>
    </x:row>
    <x:row r="94" ht="44" customHeight="1">
      <x:c r="A94" s="28" t="str">
        <x:v>TK-090</x:v>
      </x:c>
      <x:c r="B94" s="28" t="n">
        <x:v>10</x:v>
      </x:c>
      <x:c r="C94" s="38" t="n">
        <x:f>'00 Tong quan'!$B$6+B94-1</x:f>
        <x:v>46326</x:v>
      </x:c>
      <x:c r="D94" s="28" t="str">
        <x:v>Nguyễn Trọng Quý</x:v>
      </x:c>
      <x:c r="E94" s="28" t="str">
        <x:v>Doc</x:v>
      </x:c>
      <x:c r="F94" s="28" t="str">
        <x:v>P0</x:v>
      </x:c>
      <x:c r="G94" s="28" t="str">
        <x:v>NFR-08</x:v>
      </x:c>
      <x:c r="H94" s="28" t="str">
        <x:v>Chốt ethics/robots trong báo cáo</x:v>
      </x:c>
      <x:c r="I94" s="28" t="str">
        <x:v>Nêu giới hạn nguồn và không bypass policy.</x:v>
      </x:c>
      <x:c r="J94" s="28" t="str">
        <x:v>docs/report</x:v>
      </x:c>
      <x:c r="K94" s="28" t="str">
        <x:v>Có references và demo policy.</x:v>
      </x:c>
      <x:c r="L94" s="28" t="str"/>
      <x:c r="M94" s="28" t="n">
        <x:v>1.5</x:v>
      </x:c>
      <x:c r="N94" s="28" t="str">
        <x:v>Đã có code V4 hoặc cần xác minh; không tự coi Done.</x:v>
      </x:c>
      <x:c r="O94" s="28" t="str">
        <x:v>Chưa bắt đầu</x:v>
      </x:c>
      <x:c r="P94" s="28" t="str"/>
      <x:c r="Q94" s="28" t="str"/>
    </x:row>
  </x:sheetData>
  <x:mergeCells>
    <x:mergeCell ref="A1:Q1"/>
    <x:mergeCell ref="A2:Q2"/>
  </x:mergeCells>
  <x:conditionalFormatting sqref="O5:O94">
    <x:cfRule type="expression" dxfId="0" priority="1">
      <x:formula>O5="Hoàn thành"</x:formula>
    </x:cfRule>
    <x:cfRule type="expression" dxfId="1" priority="2">
      <x:formula>O5="Bị chặn"</x:formula>
    </x:cfRule>
  </x:conditionalFormatting>
  <x:dataValidations count="1">
    <x:dataValidation type="list" sqref="O5:O94">
      <x:formula1>"Chưa bắt đầu,Đang làm,Chờ review,Hoàn thành,Bị chặn"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6452f354574e16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55" hidden="0" customWidth="1"/>
    <x:col min="9" max="9" width="19" hidden="0" customWidth="1"/>
    <x:col min="10" max="10" width="40" hidden="0" customWidth="1"/>
  </x:cols>
  <x:sheetData>
    <x:row r="1" ht="34" customHeight="1">
      <x:c r="A1" s="4" t="str">
        <x:v>LỊCH TRIỂN KHAI 10 NGÀY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6" customHeight="1">
      <x:c r="A2" s="10" t="str">
        <x:v>D1 mặc định 22/10/2026; ngày dự kiến tự đổi khi chỉnh ô B6 của sheet 00 Tong quan.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30" customHeight="1">
      <x:c r="A4" s="17" t="str">
        <x:v>Ngày</x:v>
      </x:c>
      <x:c r="B4" s="17" t="str">
        <x:v>Ngày dự kiến</x:v>
      </x:c>
      <x:c r="C4" s="17" t="str">
        <x:v>Mục tiêu/Release gate</x:v>
      </x:c>
      <x:c r="D4" s="17" t="str">
        <x:v>Huy (giờ)</x:v>
      </x:c>
      <x:c r="E4" s="17" t="str">
        <x:v>Duy (giờ)</x:v>
      </x:c>
      <x:c r="F4" s="17" t="str">
        <x:v>Quý (giờ)</x:v>
      </x:c>
      <x:c r="G4" s="17" t="str">
        <x:v>Tổng giờ</x:v>
      </x:c>
      <x:c r="H4" s="17" t="str">
        <x:v>Đầu ra quan trọng</x:v>
      </x:c>
      <x:c r="I4" s="17" t="str">
        <x:v>Tình trạng gate</x:v>
      </x:c>
      <x:c r="J4" s="17" t="str">
        <x:v>Ghi chú</x:v>
      </x:c>
    </x:row>
    <x:row r="5" ht="44" customHeight="1">
      <x:c r="A5" s="24" t="str">
        <x:v>D1</x:v>
      </x:c>
      <x:c r="B5" s="34" t="n">
        <x:f>'00 Tong quan'!$B$6+5-5</x:f>
        <x:v>46317</x:v>
      </x:c>
      <x:c r="C5" s="24" t="str">
        <x:v>Khởi động sạch &amp; review</x:v>
      </x:c>
      <x:c r="D5" s="24" t="n">
        <x:f>SUMIFS('02 Task chi tiet'!$M$5:$M$94,'02 Task chi tiet'!$B$5:$B$94,5-4,'02 Task chi tiet'!$D$5:$D$94,"Huy")</x:f>
        <x:v>5</x:v>
      </x:c>
      <x:c r="E5" s="24" t="n">
        <x:f>SUMIFS('02 Task chi tiet'!$M$5:$M$94,'02 Task chi tiet'!$B$5:$B$94,5-4,'02 Task chi tiet'!$D$5:$D$94,"Phạm Ngọc Duy")</x:f>
        <x:v>5</x:v>
      </x:c>
      <x:c r="F5" s="24" t="n">
        <x:f>SUMIFS('02 Task chi tiet'!$M$5:$M$94,'02 Task chi tiet'!$B$5:$B$94,5-4,'02 Task chi tiet'!$D$5:$D$94,"Nguyễn Trọng Quý")</x:f>
        <x:v>5</x:v>
      </x:c>
      <x:c r="G5" s="24" t="n">
        <x:f>SUM(D5:F5)</x:f>
        <x:v>15</x:v>
      </x:c>
      <x:c r="H5" s="24" t="str">
        <x:v>Windows setup, DB V4, 1-page crawler smoke</x:v>
      </x:c>
      <x:c r="I5" s="24" t="str">
        <x:v>Chưa nghiệm thu</x:v>
      </x:c>
      <x:c r="J5" s="24" t="str"/>
    </x:row>
    <x:row r="6" ht="44" customHeight="1">
      <x:c r="A6" s="28" t="str">
        <x:v>D2</x:v>
      </x:c>
      <x:c r="B6" s="38" t="n">
        <x:f>'00 Tong quan'!$B$6+6-5</x:f>
        <x:v>46318</x:v>
      </x:c>
      <x:c r="C6" s="28" t="str">
        <x:v>Auth + Crawling từ 2 pages</x:v>
      </x:c>
      <x:c r="D6" s="28" t="n">
        <x:f>SUMIFS('02 Task chi tiet'!$M$5:$M$94,'02 Task chi tiet'!$B$5:$B$94,6-4,'02 Task chi tiet'!$D$5:$D$94,"Huy")</x:f>
        <x:v>5</x:v>
      </x:c>
      <x:c r="E6" s="28" t="n">
        <x:f>SUMIFS('02 Task chi tiet'!$M$5:$M$94,'02 Task chi tiet'!$B$5:$B$94,6-4,'02 Task chi tiet'!$D$5:$D$94,"Phạm Ngọc Duy")</x:f>
        <x:v>5</x:v>
      </x:c>
      <x:c r="F6" s="28" t="n">
        <x:f>SUMIFS('02 Task chi tiet'!$M$5:$M$94,'02 Task chi tiet'!$B$5:$B$94,6-4,'02 Task chi tiet'!$D$5:$D$94,"Nguyễn Trọng Quý")</x:f>
        <x:v>5</x:v>
      </x:c>
      <x:c r="G6" s="28" t="n">
        <x:f>SUM(D6:F6)</x:f>
        <x:v>15</x:v>
      </x:c>
      <x:c r="H6" s="28" t="str">
        <x:v>Auth/CSRF kiểm tra, spider follow Next, dedup</x:v>
      </x:c>
      <x:c r="I6" s="28" t="str">
        <x:v>Chưa nghiệm thu</x:v>
      </x:c>
      <x:c r="J6" s="28" t="str"/>
    </x:row>
    <x:row r="7" ht="44" customHeight="1">
      <x:c r="A7" s="24" t="str">
        <x:v>D3</x:v>
      </x:c>
      <x:c r="B7" s="34" t="n">
        <x:f>'00 Tong quan'!$B$6+7-5</x:f>
        <x:v>46319</x:v>
      </x:c>
      <x:c r="C7" s="24" t="str">
        <x:v>End-to-end job/DB</x:v>
      </x:c>
      <x:c r="D7" s="24" t="n">
        <x:f>SUMIFS('02 Task chi tiet'!$M$5:$M$94,'02 Task chi tiet'!$B$5:$B$94,7-4,'02 Task chi tiet'!$D$5:$D$94,"Huy")</x:f>
        <x:v>5</x:v>
      </x:c>
      <x:c r="E7" s="24" t="n">
        <x:f>SUMIFS('02 Task chi tiet'!$M$5:$M$94,'02 Task chi tiet'!$B$5:$B$94,7-4,'02 Task chi tiet'!$D$5:$D$94,"Phạm Ngọc Duy")</x:f>
        <x:v>5</x:v>
      </x:c>
      <x:c r="F7" s="24" t="n">
        <x:f>SUMIFS('02 Task chi tiet'!$M$5:$M$94,'02 Task chi tiet'!$B$5:$B$94,7-4,'02 Task chi tiet'!$D$5:$D$94,"Nguyễn Trọng Quý")</x:f>
        <x:v>5</x:v>
      </x:c>
      <x:c r="G7" s="24" t="n">
        <x:f>SUM(D7:F7)</x:f>
        <x:v>15</x:v>
      </x:c>
      <x:c r="H7" s="24" t="str">
        <x:v>Book fields chính xác, polling reload, jobs + events</x:v>
      </x:c>
      <x:c r="I7" s="24" t="str">
        <x:v>Chưa nghiệm thu</x:v>
      </x:c>
      <x:c r="J7" s="24" t="str"/>
    </x:row>
    <x:row r="8" ht="44" customHeight="1">
      <x:c r="A8" s="28" t="str">
        <x:v>D4</x:v>
      </x:c>
      <x:c r="B8" s="38" t="n">
        <x:f>'00 Tong quan'!$B$6+8-5</x:f>
        <x:v>46320</x:v>
      </x:c>
      <x:c r="C8" s="28" t="str">
        <x:v>Tìm kiếm, bookmark, CSV</x:v>
      </x:c>
      <x:c r="D8" s="28" t="n">
        <x:f>SUMIFS('02 Task chi tiet'!$M$5:$M$94,'02 Task chi tiet'!$B$5:$B$94,8-4,'02 Task chi tiet'!$D$5:$D$94,"Huy")</x:f>
        <x:v>5</x:v>
      </x:c>
      <x:c r="E8" s="28" t="n">
        <x:f>SUMIFS('02 Task chi tiet'!$M$5:$M$94,'02 Task chi tiet'!$B$5:$B$94,8-4,'02 Task chi tiet'!$D$5:$D$94,"Phạm Ngọc Duy")</x:f>
        <x:v>5</x:v>
      </x:c>
      <x:c r="F8" s="28" t="n">
        <x:f>SUMIFS('02 Task chi tiet'!$M$5:$M$94,'02 Task chi tiet'!$B$5:$B$94,8-4,'02 Task chi tiet'!$D$5:$D$94,"Nguyễn Trọng Quý")</x:f>
        <x:v>5</x:v>
      </x:c>
      <x:c r="G8" s="28" t="n">
        <x:f>SUM(D8:F8)</x:f>
        <x:v>15</x:v>
      </x:c>
      <x:c r="H8" s="28" t="str">
        <x:v>Books CRUD personal, CSV và crawl_job_books evidence</x:v>
      </x:c>
      <x:c r="I8" s="28" t="str">
        <x:v>Chưa nghiệm thu</x:v>
      </x:c>
      <x:c r="J8" s="28" t="str"/>
    </x:row>
    <x:row r="9" ht="44" customHeight="1">
      <x:c r="A9" s="24" t="str">
        <x:v>D5</x:v>
      </x:c>
      <x:c r="B9" s="34" t="n">
        <x:f>'00 Tong quan'!$B$6+9-5</x:f>
        <x:v>46321</x:v>
      </x:c>
      <x:c r="C9" s="24" t="str">
        <x:v>Security, Recovery &amp; UX</x:v>
      </x:c>
      <x:c r="D9" s="24" t="n">
        <x:f>SUMIFS('02 Task chi tiet'!$M$5:$M$94,'02 Task chi tiet'!$B$5:$B$94,9-4,'02 Task chi tiet'!$D$5:$D$94,"Huy")</x:f>
        <x:v>5</x:v>
      </x:c>
      <x:c r="E9" s="24" t="n">
        <x:f>SUMIFS('02 Task chi tiet'!$M$5:$M$94,'02 Task chi tiet'!$B$5:$B$94,9-4,'02 Task chi tiet'!$D$5:$D$94,"Phạm Ngọc Duy")</x:f>
        <x:v>5</x:v>
      </x:c>
      <x:c r="F9" s="24" t="n">
        <x:f>SUMIFS('02 Task chi tiet'!$M$5:$M$94,'02 Task chi tiet'!$B$5:$B$94,9-4,'02 Task chi tiet'!$D$5:$D$94,"Nguyễn Trọng Quý")</x:f>
        <x:v>5</x:v>
      </x:c>
      <x:c r="G9" s="24" t="n">
        <x:f>SUM(D9:F9)</x:f>
        <x:v>15</x:v>
      </x:c>
      <x:c r="H9" s="24" t="str">
        <x:v>Reset SMTP, theme/mobile, robots/error tests</x:v>
      </x:c>
      <x:c r="I9" s="24" t="str">
        <x:v>Chưa nghiệm thu</x:v>
      </x:c>
      <x:c r="J9" s="24" t="str"/>
    </x:row>
    <x:row r="10" ht="44" customHeight="1">
      <x:c r="A10" s="28" t="str">
        <x:v>D6</x:v>
      </x:c>
      <x:c r="B10" s="38" t="n">
        <x:f>'00 Tong quan'!$B$6+10-5</x:f>
        <x:v>46322</x:v>
      </x:c>
      <x:c r="C10" s="28" t="str">
        <x:v>Feature freeze</x:v>
      </x:c>
      <x:c r="D10" s="28" t="n">
        <x:f>SUMIFS('02 Task chi tiet'!$M$5:$M$94,'02 Task chi tiet'!$B$5:$B$94,10-4,'02 Task chi tiet'!$D$5:$D$94,"Huy")</x:f>
        <x:v>5</x:v>
      </x:c>
      <x:c r="E10" s="28" t="n">
        <x:f>SUMIFS('02 Task chi tiet'!$M$5:$M$94,'02 Task chi tiet'!$B$5:$B$94,10-4,'02 Task chi tiet'!$D$5:$D$94,"Phạm Ngọc Duy")</x:f>
        <x:v>5</x:v>
      </x:c>
      <x:c r="F10" s="28" t="n">
        <x:f>SUMIFS('02 Task chi tiet'!$M$5:$M$94,'02 Task chi tiet'!$B$5:$B$94,10-4,'02 Task chi tiet'!$D$5:$D$94,"Nguyễn Trọng Quý")</x:f>
        <x:v>5</x:v>
      </x:c>
      <x:c r="G10" s="28" t="n">
        <x:f>SUM(D10:F10)</x:f>
        <x:v>15</x:v>
      </x:c>
      <x:c r="H10" s="28" t="str">
        <x:v>API stable, i18n/theme, end-to-end crawler gate</x:v>
      </x:c>
      <x:c r="I10" s="28" t="str">
        <x:v>Chưa nghiệm thu</x:v>
      </x:c>
      <x:c r="J10" s="28" t="str"/>
    </x:row>
    <x:row r="11" ht="44" customHeight="1">
      <x:c r="A11" s="24" t="str">
        <x:v>D7</x:v>
      </x:c>
      <x:c r="B11" s="34" t="n">
        <x:f>'00 Tong quan'!$B$6+11-5</x:f>
        <x:v>46323</x:v>
      </x:c>
      <x:c r="C11" s="24" t="str">
        <x:v>QA toàn diện</x:v>
      </x:c>
      <x:c r="D11" s="24" t="n">
        <x:f>SUMIFS('02 Task chi tiet'!$M$5:$M$94,'02 Task chi tiet'!$B$5:$B$94,11-4,'02 Task chi tiet'!$D$5:$D$94,"Huy")</x:f>
        <x:v>5</x:v>
      </x:c>
      <x:c r="E11" s="24" t="n">
        <x:f>SUMIFS('02 Task chi tiet'!$M$5:$M$94,'02 Task chi tiet'!$B$5:$B$94,11-4,'02 Task chi tiet'!$D$5:$D$94,"Phạm Ngọc Duy")</x:f>
        <x:v>5</x:v>
      </x:c>
      <x:c r="F11" s="24" t="n">
        <x:f>SUMIFS('02 Task chi tiet'!$M$5:$M$94,'02 Task chi tiet'!$B$5:$B$94,11-4,'02 Task chi tiet'!$D$5:$D$94,"Nguyễn Trọng Quý")</x:f>
        <x:v>5</x:v>
      </x:c>
      <x:c r="G11" s="24" t="n">
        <x:f>SUM(D11:F11)</x:f>
        <x:v>15</x:v>
      </x:c>
      <x:c r="H11" s="24" t="str">
        <x:v>Trình duyệt, recovery, DB backup, full dependencies pytest</x:v>
      </x:c>
      <x:c r="I11" s="24" t="str">
        <x:v>Chưa nghiệm thu</x:v>
      </x:c>
      <x:c r="J11" s="24" t="str"/>
    </x:row>
    <x:row r="12" ht="44" customHeight="1">
      <x:c r="A12" s="28" t="str">
        <x:v>D8</x:v>
      </x:c>
      <x:c r="B12" s="38" t="n">
        <x:f>'00 Tong quan'!$B$6+12-5</x:f>
        <x:v>46324</x:v>
      </x:c>
      <x:c r="C12" s="28" t="str">
        <x:v>Báo cáo tiếng Anh + minh chứng</x:v>
      </x:c>
      <x:c r="D12" s="28" t="n">
        <x:f>SUMIFS('02 Task chi tiet'!$M$5:$M$94,'02 Task chi tiet'!$B$5:$B$94,12-4,'02 Task chi tiet'!$D$5:$D$94,"Huy")</x:f>
        <x:v>5</x:v>
      </x:c>
      <x:c r="E12" s="28" t="n">
        <x:f>SUMIFS('02 Task chi tiet'!$M$5:$M$94,'02 Task chi tiet'!$B$5:$B$94,12-4,'02 Task chi tiet'!$D$5:$D$94,"Phạm Ngọc Duy")</x:f>
        <x:v>5</x:v>
      </x:c>
      <x:c r="F12" s="28" t="n">
        <x:f>SUMIFS('02 Task chi tiet'!$M$5:$M$94,'02 Task chi tiet'!$B$5:$B$94,12-4,'02 Task chi tiet'!$D$5:$D$94,"Nguyễn Trọng Quý")</x:f>
        <x:v>5</x:v>
      </x:c>
      <x:c r="G12" s="28" t="n">
        <x:f>SUM(D12:F12)</x:f>
        <x:v>15</x:v>
      </x:c>
      <x:c r="H12" s="28" t="str">
        <x:v>Screenshots, diagrams, report 20–60 trang</x:v>
      </x:c>
      <x:c r="I12" s="28" t="str">
        <x:v>Chưa nghiệm thu</x:v>
      </x:c>
      <x:c r="J12" s="28" t="str"/>
    </x:row>
    <x:row r="13" ht="44" customHeight="1">
      <x:c r="A13" s="24" t="str">
        <x:v>D9</x:v>
      </x:c>
      <x:c r="B13" s="34" t="n">
        <x:f>'00 Tong quan'!$B$6+13-5</x:f>
        <x:v>46325</x:v>
      </x:c>
      <x:c r="C13" s="24" t="str">
        <x:v>Release candidate + rehearsal</x:v>
      </x:c>
      <x:c r="D13" s="24" t="n">
        <x:f>SUMIFS('02 Task chi tiet'!$M$5:$M$94,'02 Task chi tiet'!$B$5:$B$94,13-4,'02 Task chi tiet'!$D$5:$D$94,"Huy")</x:f>
        <x:v>5</x:v>
      </x:c>
      <x:c r="E13" s="24" t="n">
        <x:f>SUMIFS('02 Task chi tiet'!$M$5:$M$94,'02 Task chi tiet'!$B$5:$B$94,13-4,'02 Task chi tiet'!$D$5:$D$94,"Phạm Ngọc Duy")</x:f>
        <x:v>5</x:v>
      </x:c>
      <x:c r="F13" s="24" t="n">
        <x:f>SUMIFS('02 Task chi tiet'!$M$5:$M$94,'02 Task chi tiet'!$B$5:$B$94,13-4,'02 Task chi tiet'!$D$5:$D$94,"Nguyễn Trọng Quý")</x:f>
        <x:v>5</x:v>
      </x:c>
      <x:c r="G13" s="24" t="n">
        <x:f>SUM(D13:F13)</x:f>
        <x:v>15</x:v>
      </x:c>
      <x:c r="H13" s="24" t="str">
        <x:v>Video rehearsal, clean install, P0 security gate</x:v>
      </x:c>
      <x:c r="I13" s="24" t="str">
        <x:v>Chưa nghiệm thu</x:v>
      </x:c>
      <x:c r="J13" s="24" t="str"/>
    </x:row>
    <x:row r="14" ht="44" customHeight="1">
      <x:c r="A14" s="28" t="str">
        <x:v>D10</x:v>
      </x:c>
      <x:c r="B14" s="38" t="n">
        <x:f>'00 Tong quan'!$B$6+14-5</x:f>
        <x:v>46326</x:v>
      </x:c>
      <x:c r="C14" s="28" t="str">
        <x:v>Nghiệm thu cuối &amp; bàn giao</x:v>
      </x:c>
      <x:c r="D14" s="28" t="n">
        <x:f>SUMIFS('02 Task chi tiet'!$M$5:$M$94,'02 Task chi tiet'!$B$5:$B$94,14-4,'02 Task chi tiet'!$D$5:$D$94,"Huy")</x:f>
        <x:v>5</x:v>
      </x:c>
      <x:c r="E14" s="28" t="n">
        <x:f>SUMIFS('02 Task chi tiet'!$M$5:$M$94,'02 Task chi tiet'!$B$5:$B$94,14-4,'02 Task chi tiet'!$D$5:$D$94,"Phạm Ngọc Duy")</x:f>
        <x:v>5</x:v>
      </x:c>
      <x:c r="F14" s="28" t="n">
        <x:f>SUMIFS('02 Task chi tiet'!$M$5:$M$94,'02 Task chi tiet'!$B$5:$B$94,14-4,'02 Task chi tiet'!$D$5:$D$94,"Nguyễn Trọng Quý")</x:f>
        <x:v>5</x:v>
      </x:c>
      <x:c r="G14" s="28" t="n">
        <x:f>SUM(D14:F14)</x:f>
        <x:v>15</x:v>
      </x:c>
      <x:c r="H14" s="28" t="str">
        <x:v>Source/report/slides/video/test evidence hoàn thiện</x:v>
      </x:c>
      <x:c r="I14" s="28" t="str">
        <x:v>Chưa nghiệm thu</x:v>
      </x:c>
      <x:c r="J14" s="28" t="str"/>
    </x:row>
  </x:sheetData>
  <x:mergeCells>
    <x:mergeCell ref="A1:J1"/>
    <x:mergeCell ref="A2:J2"/>
  </x:mergeCells>
  <x:dataValidations count="1">
    <x:dataValidation type="list" sqref="I5:I14">
      <x:formula1>"Chưa nghiệm thu,Đang thực hiện,Đạt gate,Bị chặn"</x:formula1>
    </x:dataValidation>
  </x:dataValidations>
  <x:pageMargins left="0.7" right="0.7" top="0.75" bottom="0.75" header="0.3" footer="0.3"/>
  <x:drawing xmlns:r="http://schemas.openxmlformats.org/officeDocument/2006/relationships" r:id="R15ca937129ef4ebc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7" hidden="0" customWidth="1"/>
    <x:col min="4" max="4" width="22" hidden="0" customWidth="1"/>
    <x:col min="5" max="5" width="18" hidden="0" customWidth="1"/>
    <x:col min="6" max="6" width="56" hidden="0" customWidth="1"/>
    <x:col min="7" max="7" width="56" hidden="0" customWidth="1"/>
    <x:col min="8" max="8" width="19" hidden="0" customWidth="1"/>
    <x:col min="9" max="9" width="32" hidden="0" customWidth="1"/>
    <x:col min="10" max="10" width="22" hidden="0" customWidth="1"/>
    <x:col min="11" max="11" width="21" hidden="0" customWidth="1"/>
    <x:col min="12" max="12" width="17" hidden="0" customWidth="1"/>
  </x:cols>
  <x:sheetData>
    <x:row r="1" ht="34" customHeight="1">
      <x:c r="A1" s="4" t="str">
        <x:v>MA TRẬN NGHIỆM THU · 37 TC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6" customHeight="1">
      <x:c r="A2" s="10" t="str">
        <x:v>Tất cả đang chờ chạy trên môi trường team. Không đánh dấu PASS chỉ vì pytest offline đạt.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17" t="str">
        <x:v>TC ID</x:v>
      </x:c>
      <x:c r="B4" s="17" t="str">
        <x:v>Nhóm</x:v>
      </x:c>
      <x:c r="C4" s="17" t="str">
        <x:v>FR liên quan</x:v>
      </x:c>
      <x:c r="D4" s="17" t="str">
        <x:v>Owner</x:v>
      </x:c>
      <x:c r="E4" s="17" t="str">
        <x:v>Loại test</x:v>
      </x:c>
      <x:c r="F4" s="17" t="str">
        <x:v>Bước kiểm thử</x:v>
      </x:c>
      <x:c r="G4" s="17" t="str">
        <x:v>Expected output</x:v>
      </x:c>
      <x:c r="H4" s="17" t="str">
        <x:v>Trạng thái</x:v>
      </x:c>
      <x:c r="I4" s="17" t="str">
        <x:v>Evidence</x:v>
      </x:c>
      <x:c r="J4" s="17" t="str">
        <x:v>Build commit</x:v>
      </x:c>
      <x:c r="K4" s="17" t="str">
        <x:v>Reviewer</x:v>
      </x:c>
      <x:c r="L4" s="17" t="str">
        <x:v>Ngày chạy</x:v>
      </x:c>
    </x:row>
    <x:row r="5" ht="44" customHeight="1">
      <x:c r="A5" s="24" t="str">
        <x:v>TC-01</x:v>
      </x:c>
      <x:c r="B5" s="24" t="str">
        <x:v>Environment</x:v>
      </x:c>
      <x:c r="C5" s="24" t="str">
        <x:v>FR-PLT-04</x:v>
      </x:c>
      <x:c r="D5" s="24" t="str">
        <x:v>Duy</x:v>
      </x:c>
      <x:c r="E5" s="24" t="str">
        <x:v>Browser/E2E</x:v>
      </x:c>
      <x:c r="F5" s="24" t="str">
        <x:v>Giải nén LTW-TH, chạy START_HERE.bat Windows sạch</x:v>
      </x:c>
      <x:c r="G5" s="24" t="str">
        <x:v>App mở 127.0.0.1:5000; không đổi XAMPP/htdocs</x:v>
      </x:c>
      <x:c r="H5" s="24" t="str">
        <x:v>Chưa chạy</x:v>
      </x:c>
      <x:c r="I5" s="24" t="str"/>
      <x:c r="J5" s="24" t="str"/>
      <x:c r="K5" s="24" t="str"/>
      <x:c r="L5" s="24" t="str"/>
    </x:row>
    <x:row r="6" ht="44" customHeight="1">
      <x:c r="A6" s="28" t="str">
        <x:v>TC-02</x:v>
      </x:c>
      <x:c r="B6" s="28" t="str">
        <x:v>Public</x:v>
      </x:c>
      <x:c r="C6" s="28" t="str">
        <x:v>FR-PUB-01</x:v>
      </x:c>
      <x:c r="D6" s="28" t="str">
        <x:v>Huy</x:v>
      </x:c>
      <x:c r="E6" s="28" t="str">
        <x:v>Browser/E2E</x:v>
      </x:c>
      <x:c r="F6" s="28" t="str">
        <x:v>Guest mở / và CTA</x:v>
      </x:c>
      <x:c r="G6" s="28" t="str">
        <x:v>Có giới thiệu và CTA đúng link; không hiển thị dữ liệu giả</x:v>
      </x:c>
      <x:c r="H6" s="28" t="str">
        <x:v>Chưa chạy</x:v>
      </x:c>
      <x:c r="I6" s="28" t="str"/>
      <x:c r="J6" s="28" t="str"/>
      <x:c r="K6" s="28" t="str"/>
      <x:c r="L6" s="28" t="str"/>
    </x:row>
    <x:row r="7" ht="44" customHeight="1">
      <x:c r="A7" s="24" t="str">
        <x:v>TC-03</x:v>
      </x:c>
      <x:c r="B7" s="24" t="str">
        <x:v>Identity</x:v>
      </x:c>
      <x:c r="C7" s="24" t="str">
        <x:v>FR-AUT-01</x:v>
      </x:c>
      <x:c r="D7" s="24" t="str">
        <x:v>Duy</x:v>
      </x:c>
      <x:c r="E7" s="24" t="str">
        <x:v>Browser/E2E</x:v>
      </x:c>
      <x:c r="F7" s="24" t="str">
        <x:v>Đăng ký email/password hợp lệ</x:v>
      </x:c>
      <x:c r="G7" s="24" t="str">
        <x:v>201, session đăng nhập, có preferences vi/system/grid</x:v>
      </x:c>
      <x:c r="H7" s="24" t="str">
        <x:v>Chưa chạy</x:v>
      </x:c>
      <x:c r="I7" s="24" t="str"/>
      <x:c r="J7" s="24" t="str"/>
      <x:c r="K7" s="24" t="str"/>
      <x:c r="L7" s="24" t="str"/>
    </x:row>
    <x:row r="8" ht="44" customHeight="1">
      <x:c r="A8" s="28" t="str">
        <x:v>TC-04</x:v>
      </x:c>
      <x:c r="B8" s="28" t="str">
        <x:v>Identity</x:v>
      </x:c>
      <x:c r="C8" s="28" t="str">
        <x:v>FR-AUT-01</x:v>
      </x:c>
      <x:c r="D8" s="28" t="str">
        <x:v>Duy</x:v>
      </x:c>
      <x:c r="E8" s="28" t="str">
        <x:v>Browser/E2E</x:v>
      </x:c>
      <x:c r="F8" s="28" t="str">
        <x:v>Email trùng/invalid/weak password</x:v>
      </x:c>
      <x:c r="G8" s="28" t="str">
        <x:v>400 không tạo tài khoản, thông báo rõ</x:v>
      </x:c>
      <x:c r="H8" s="28" t="str">
        <x:v>Chưa chạy</x:v>
      </x:c>
      <x:c r="I8" s="28" t="str"/>
      <x:c r="J8" s="28" t="str"/>
      <x:c r="K8" s="28" t="str"/>
      <x:c r="L8" s="28" t="str"/>
    </x:row>
    <x:row r="9" ht="44" customHeight="1">
      <x:c r="A9" s="24" t="str">
        <x:v>TC-05</x:v>
      </x:c>
      <x:c r="B9" s="24" t="str">
        <x:v>Identity</x:v>
      </x:c>
      <x:c r="C9" s="24" t="str">
        <x:v>FR-AUT-02,FR-AUT-08</x:v>
      </x:c>
      <x:c r="D9" s="24" t="str">
        <x:v>Duy</x:v>
      </x:c>
      <x:c r="E9" s="24" t="str">
        <x:v>Browser/E2E</x:v>
      </x:c>
      <x:c r="F9" s="24" t="str">
        <x:v>Sai mật khẩu liên tiếp</x:v>
      </x:c>
      <x:c r="G9" s="24" t="str">
        <x:v>401, cuối ngưỡng 429 và không leak user</x:v>
      </x:c>
      <x:c r="H9" s="24" t="str">
        <x:v>Chưa chạy</x:v>
      </x:c>
      <x:c r="I9" s="24" t="str"/>
      <x:c r="J9" s="24" t="str"/>
      <x:c r="K9" s="24" t="str"/>
      <x:c r="L9" s="24" t="str"/>
    </x:row>
    <x:row r="10" ht="44" customHeight="1">
      <x:c r="A10" s="28" t="str">
        <x:v>TC-06</x:v>
      </x:c>
      <x:c r="B10" s="28" t="str">
        <x:v>Identity</x:v>
      </x:c>
      <x:c r="C10" s="28" t="str">
        <x:v>FR-AUT-03,FR-AUT-09</x:v>
      </x:c>
      <x:c r="D10" s="28" t="str">
        <x:v>Duy</x:v>
      </x:c>
      <x:c r="E10" s="28" t="str">
        <x:v>Browser/E2E</x:v>
      </x:c>
      <x:c r="F10" s="28" t="str">
        <x:v>Guest truy cập workspace và logout</x:v>
      </x:c>
      <x:c r="G10" s="28" t="str">
        <x:v>Guest bị chặn, logout hủy phiên</x:v>
      </x:c>
      <x:c r="H10" s="28" t="str">
        <x:v>Chưa chạy</x:v>
      </x:c>
      <x:c r="I10" s="28" t="str"/>
      <x:c r="J10" s="28" t="str"/>
      <x:c r="K10" s="28" t="str"/>
      <x:c r="L10" s="28" t="str"/>
    </x:row>
    <x:row r="11" ht="44" customHeight="1">
      <x:c r="A11" s="24" t="str">
        <x:v>TC-07</x:v>
      </x:c>
      <x:c r="B11" s="24" t="str">
        <x:v>Identity</x:v>
      </x:c>
      <x:c r="C11" s="24" t="str">
        <x:v>FR-AUT-04</x:v>
      </x:c>
      <x:c r="D11" s="24" t="str">
        <x:v>Duy</x:v>
      </x:c>
      <x:c r="E11" s="24" t="str">
        <x:v>Browser/E2E</x:v>
      </x:c>
      <x:c r="F11" s="24" t="str">
        <x:v>Reset password local-only có opt-in</x:v>
      </x:c>
      <x:c r="G11" s="24" t="str">
        <x:v>Link hợp lệ 1 lần/20 phút, phiên cũ bị chặn</x:v>
      </x:c>
      <x:c r="H11" s="24" t="str">
        <x:v>Chưa chạy</x:v>
      </x:c>
      <x:c r="I11" s="24" t="str"/>
      <x:c r="J11" s="24" t="str"/>
      <x:c r="K11" s="24" t="str"/>
      <x:c r="L11" s="24" t="str"/>
    </x:row>
    <x:row r="12" ht="44" customHeight="1">
      <x:c r="A12" s="28" t="str">
        <x:v>TC-08</x:v>
      </x:c>
      <x:c r="B12" s="28" t="str">
        <x:v>Identity</x:v>
      </x:c>
      <x:c r="C12" s="28" t="str">
        <x:v>FR-AUT-05</x:v>
      </x:c>
      <x:c r="D12" s="28" t="str">
        <x:v>Duy</x:v>
      </x:c>
      <x:c r="E12" s="28" t="str">
        <x:v>Browser/E2E</x:v>
      </x:c>
      <x:c r="F12" s="28" t="str">
        <x:v>Cấu hình SMTP thật gửi đến email thử</x:v>
      </x:c>
      <x:c r="G12" s="28" t="str">
        <x:v>Nhận email, link đúng host, lỗi SMTP không báo thành công</x:v>
      </x:c>
      <x:c r="H12" s="28" t="str">
        <x:v>Chưa chạy</x:v>
      </x:c>
      <x:c r="I12" s="28" t="str"/>
      <x:c r="J12" s="28" t="str"/>
      <x:c r="K12" s="28" t="str"/>
      <x:c r="L12" s="28" t="str"/>
    </x:row>
    <x:row r="13" ht="44" customHeight="1">
      <x:c r="A13" s="24" t="str">
        <x:v>TC-09</x:v>
      </x:c>
      <x:c r="B13" s="24" t="str">
        <x:v>Identity</x:v>
      </x:c>
      <x:c r="C13" s="24" t="str">
        <x:v>FR-AUT-06</x:v>
      </x:c>
      <x:c r="D13" s="24" t="str">
        <x:v>Duy</x:v>
      </x:c>
      <x:c r="E13" s="24" t="str">
        <x:v>Browser/E2E</x:v>
      </x:c>
      <x:c r="F13" s="24" t="str">
        <x:v>Đổi mật khẩu trong settings</x:v>
      </x:c>
      <x:c r="G13" s="24" t="str">
        <x:v>Mật khẩu cũ không vào được, phiên cũ mất hiệu lực</x:v>
      </x:c>
      <x:c r="H13" s="24" t="str">
        <x:v>Chưa chạy</x:v>
      </x:c>
      <x:c r="I13" s="24" t="str"/>
      <x:c r="J13" s="24" t="str"/>
      <x:c r="K13" s="24" t="str"/>
      <x:c r="L13" s="24" t="str"/>
    </x:row>
    <x:row r="14" ht="44" customHeight="1">
      <x:c r="A14" s="28" t="str">
        <x:v>TC-10</x:v>
      </x:c>
      <x:c r="B14" s="28" t="str">
        <x:v>Settings</x:v>
      </x:c>
      <x:c r="C14" s="28" t="str">
        <x:v>FR-USR-01</x:v>
      </x:c>
      <x:c r="D14" s="28" t="str">
        <x:v>Huy</x:v>
      </x:c>
      <x:c r="E14" s="28" t="str">
        <x:v>Browser/E2E</x:v>
      </x:c>
      <x:c r="F14" s="28" t="str">
        <x:v>Đổi VI→EN→VI và refresh</x:v>
      </x:c>
      <x:c r="G14" s="28" t="str">
        <x:v>Các màn chính đổi ngôn ngữ, tên sách và GBP giữ nguyên</x:v>
      </x:c>
      <x:c r="H14" s="28" t="str">
        <x:v>Chưa chạy</x:v>
      </x:c>
      <x:c r="I14" s="28" t="str"/>
      <x:c r="J14" s="28" t="str"/>
      <x:c r="K14" s="28" t="str"/>
      <x:c r="L14" s="28" t="str"/>
    </x:row>
    <x:row r="15" ht="44" customHeight="1">
      <x:c r="A15" s="24" t="str">
        <x:v>TC-11</x:v>
      </x:c>
      <x:c r="B15" s="24" t="str">
        <x:v>Settings</x:v>
      </x:c>
      <x:c r="C15" s="24" t="str">
        <x:v>FR-USR-02</x:v>
      </x:c>
      <x:c r="D15" s="24" t="str">
        <x:v>Huy</x:v>
      </x:c>
      <x:c r="E15" s="24" t="str">
        <x:v>Browser/E2E</x:v>
      </x:c>
      <x:c r="F15" s="24" t="str">
        <x:v>Dark/light/system + reload</x:v>
      </x:c>
      <x:c r="G15" s="24" t="str">
        <x:v>Màu/contrast đúng, preference giữ sau login</x:v>
      </x:c>
      <x:c r="H15" s="24" t="str">
        <x:v>Chưa chạy</x:v>
      </x:c>
      <x:c r="I15" s="24" t="str"/>
      <x:c r="J15" s="24" t="str"/>
      <x:c r="K15" s="24" t="str"/>
      <x:c r="L15" s="24" t="str"/>
    </x:row>
    <x:row r="16" ht="44" customHeight="1">
      <x:c r="A16" s="28" t="str">
        <x:v>TC-12</x:v>
      </x:c>
      <x:c r="B16" s="28" t="str">
        <x:v>Settings</x:v>
      </x:c>
      <x:c r="C16" s="28" t="str">
        <x:v>FR-USR-03,FR-USR-04</x:v>
      </x:c>
      <x:c r="D16" s="28" t="str">
        <x:v>Huy</x:v>
      </x:c>
      <x:c r="E16" s="28" t="str">
        <x:v>Browser/E2E</x:v>
      </x:c>
      <x:c r="F16" s="28" t="str">
        <x:v>Đổi layout grid/list</x:v>
      </x:c>
      <x:c r="G16" s="28" t="str">
        <x:v>Trang Books tương ứng và lưu theo user</x:v>
      </x:c>
      <x:c r="H16" s="28" t="str">
        <x:v>Chưa chạy</x:v>
      </x:c>
      <x:c r="I16" s="28" t="str"/>
      <x:c r="J16" s="28" t="str"/>
      <x:c r="K16" s="28" t="str"/>
      <x:c r="L16" s="28" t="str"/>
    </x:row>
    <x:row r="17" ht="44" customHeight="1">
      <x:c r="A17" s="24" t="str">
        <x:v>TC-13</x:v>
      </x:c>
      <x:c r="B17" s="24" t="str">
        <x:v>Security</x:v>
      </x:c>
      <x:c r="C17" s="24" t="str">
        <x:v>FR-USR-05</x:v>
      </x:c>
      <x:c r="D17" s="24" t="str">
        <x:v>Duy</x:v>
      </x:c>
      <x:c r="E17" s="24" t="str">
        <x:v>Browser/E2E</x:v>
      </x:c>
      <x:c r="F17" s="24" t="str">
        <x:v>Tạo 2 user A/B rồi lưu sách và bộ lọc</x:v>
      </x:c>
      <x:c r="G17" s="24" t="str">
        <x:v>B không thấy bookmark/search/job của A</x:v>
      </x:c>
      <x:c r="H17" s="24" t="str">
        <x:v>Chưa chạy</x:v>
      </x:c>
      <x:c r="I17" s="24" t="str"/>
      <x:c r="J17" s="24" t="str"/>
      <x:c r="K17" s="24" t="str"/>
      <x:c r="L17" s="24" t="str"/>
    </x:row>
    <x:row r="18" ht="44" customHeight="1">
      <x:c r="A18" s="28" t="str">
        <x:v>TC-14</x:v>
      </x:c>
      <x:c r="B18" s="28" t="str">
        <x:v>Crawler</x:v>
      </x:c>
      <x:c r="C18" s="28" t="str">
        <x:v>FR-CRW-01,FR-CRW-02</x:v>
      </x:c>
      <x:c r="D18" s="28" t="str">
        <x:v>Duy</x:v>
      </x:c>
      <x:c r="E18" s="28" t="str">
        <x:v>Browser/E2E</x:v>
      </x:c>
      <x:c r="F18" s="28" t="str">
        <x:v>Start job max_pages=0,4,"2",1</x:v>
      </x:c>
      <x:c r="G18" s="28" t="str">
        <x:v>Invalid 400; valid 202 tạo job owned</x:v>
      </x:c>
      <x:c r="H18" s="28" t="str">
        <x:v>Chưa chạy</x:v>
      </x:c>
      <x:c r="I18" s="28" t="str"/>
      <x:c r="J18" s="28" t="str"/>
      <x:c r="K18" s="28" t="str"/>
      <x:c r="L18" s="28" t="str"/>
    </x:row>
    <x:row r="19" ht="44" customHeight="1">
      <x:c r="A19" s="24" t="str">
        <x:v>TC-15</x:v>
      </x:c>
      <x:c r="B19" s="24" t="str">
        <x:v>Crawler</x:v>
      </x:c>
      <x:c r="C19" s="24" t="str">
        <x:v>FR-CRW-03</x:v>
      </x:c>
      <x:c r="D19" s="24" t="str">
        <x:v>Duy</x:v>
      </x:c>
      <x:c r="E19" s="24" t="str">
        <x:v>Browser/E2E</x:v>
      </x:c>
      <x:c r="F19" s="24" t="str">
        <x:v>Hai user tạo job khi có một job active</x:v>
      </x:c>
      <x:c r="G19" s="24" t="str">
        <x:v>Chỉ một job, request kế tiếp 409</x:v>
      </x:c>
      <x:c r="H19" s="24" t="str">
        <x:v>Chưa chạy</x:v>
      </x:c>
      <x:c r="I19" s="24" t="str"/>
      <x:c r="J19" s="24" t="str"/>
      <x:c r="K19" s="24" t="str"/>
      <x:c r="L19" s="24" t="str"/>
    </x:row>
    <x:row r="20" ht="44" customHeight="1">
      <x:c r="A20" s="28" t="str">
        <x:v>TC-16</x:v>
      </x:c>
      <x:c r="B20" s="28" t="str">
        <x:v>Crawler</x:v>
      </x:c>
      <x:c r="C20" s="28" t="str">
        <x:v>FR-CRW-05</x:v>
      </x:c>
      <x:c r="D20" s="28" t="str">
        <x:v>Quý</x:v>
      </x:c>
      <x:c r="E20" s="28" t="str">
        <x:v>Browser/E2E</x:v>
      </x:c>
      <x:c r="F20" s="28" t="str">
        <x:v>Crawl live max_pages=2</x:v>
      </x:c>
      <x:c r="G20" s="28" t="str">
        <x:v>crawl_pages có 2 dòng thuộc job; không lấy vượt 2</x:v>
      </x:c>
      <x:c r="H20" s="28" t="str">
        <x:v>Chưa chạy</x:v>
      </x:c>
      <x:c r="I20" s="28" t="str"/>
      <x:c r="J20" s="28" t="str"/>
      <x:c r="K20" s="28" t="str"/>
      <x:c r="L20" s="28" t="str"/>
    </x:row>
    <x:row r="21" ht="44" customHeight="1">
      <x:c r="A21" s="24" t="str">
        <x:v>TC-17</x:v>
      </x:c>
      <x:c r="B21" s="24" t="str">
        <x:v>Crawler</x:v>
      </x:c>
      <x:c r="C21" s="24" t="str">
        <x:v>FR-CRW-06</x:v>
      </x:c>
      <x:c r="D21" s="24" t="str">
        <x:v>Quý</x:v>
      </x:c>
      <x:c r="E21" s="24" t="str">
        <x:v>Browser/E2E</x:v>
      </x:c>
      <x:c r="F21" s="24" t="str">
        <x:v>Lấy 2–3 chi tiết sách mẫu live</x:v>
      </x:c>
      <x:c r="G21" s="24" t="str">
        <x:v>Tên, giá pence, rating, category, stock chính xác HTML</x:v>
      </x:c>
      <x:c r="H21" s="24" t="str">
        <x:v>Chưa chạy</x:v>
      </x:c>
      <x:c r="I21" s="24" t="str"/>
      <x:c r="J21" s="24" t="str"/>
      <x:c r="K21" s="24" t="str"/>
      <x:c r="L21" s="24" t="str"/>
    </x:row>
    <x:row r="22" ht="44" customHeight="1">
      <x:c r="A22" s="28" t="str">
        <x:v>TC-18</x:v>
      </x:c>
      <x:c r="B22" s="28" t="str">
        <x:v>Crawler</x:v>
      </x:c>
      <x:c r="C22" s="28" t="str">
        <x:v>FR-CRW-04,FR-CRW-07</x:v>
      </x:c>
      <x:c r="D22" s="28" t="str">
        <x:v>Quý</x:v>
      </x:c>
      <x:c r="E22" s="28" t="str">
        <x:v>Browser/E2E</x:v>
      </x:c>
      <x:c r="F22" s="28" t="str">
        <x:v>Kiểm tra robots, delay và host allowlist</x:v>
      </x:c>
      <x:c r="G22" s="28" t="str">
        <x:v>Không truy cập host lạ; settings đúng, log làm chứng</x:v>
      </x:c>
      <x:c r="H22" s="28" t="str">
        <x:v>Chưa chạy</x:v>
      </x:c>
      <x:c r="I22" s="28" t="str"/>
      <x:c r="J22" s="28" t="str"/>
      <x:c r="K22" s="28" t="str"/>
      <x:c r="L22" s="28" t="str"/>
    </x:row>
    <x:row r="23" ht="44" customHeight="1">
      <x:c r="A23" s="24" t="str">
        <x:v>TC-19</x:v>
      </x:c>
      <x:c r="B23" s="24" t="str">
        <x:v>Crawler</x:v>
      </x:c>
      <x:c r="C23" s="24" t="str">
        <x:v>FR-CRW-08</x:v>
      </x:c>
      <x:c r="D23" s="24" t="str">
        <x:v>Quý</x:v>
      </x:c>
      <x:c r="E23" s="24" t="str">
        <x:v>Browser/E2E</x:v>
      </x:c>
      <x:c r="F23" s="24" t="str">
        <x:v>Crawl lại cùng phạm vi</x:v>
      </x:c>
      <x:c r="G23" s="24" t="str">
        <x:v>books count không tăng do trùng URL; action UNCHANGED/UPDATED</x:v>
      </x:c>
      <x:c r="H23" s="24" t="str">
        <x:v>Chưa chạy</x:v>
      </x:c>
      <x:c r="I23" s="24" t="str"/>
      <x:c r="J23" s="24" t="str"/>
      <x:c r="K23" s="24" t="str"/>
      <x:c r="L23" s="24" t="str"/>
    </x:row>
    <x:row r="24" ht="44" customHeight="1">
      <x:c r="A24" s="28" t="str">
        <x:v>TC-20</x:v>
      </x:c>
      <x:c r="B24" s="28" t="str">
        <x:v>Crawler</x:v>
      </x:c>
      <x:c r="C24" s="28" t="str">
        <x:v>FR-CRW-11</x:v>
      </x:c>
      <x:c r="D24" s="28" t="str">
        <x:v>Quý</x:v>
      </x:c>
      <x:c r="E24" s="28" t="str">
        <x:v>Browser/E2E</x:v>
      </x:c>
      <x:c r="F24" s="28" t="str">
        <x:v>Giả lập request fail / parser fail</x:v>
      </x:c>
      <x:c r="G24" s="28" t="str">
        <x:v>Có error events, không lưu item thiếu dữ liệu</x:v>
      </x:c>
      <x:c r="H24" s="28" t="str">
        <x:v>Chưa chạy</x:v>
      </x:c>
      <x:c r="I24" s="28" t="str"/>
      <x:c r="J24" s="28" t="str"/>
      <x:c r="K24" s="28" t="str"/>
      <x:c r="L24" s="28" t="str"/>
    </x:row>
    <x:row r="25" ht="44" customHeight="1">
      <x:c r="A25" s="24" t="str">
        <x:v>TC-21</x:v>
      </x:c>
      <x:c r="B25" s="24" t="str">
        <x:v>Crawler</x:v>
      </x:c>
      <x:c r="C25" s="24" t="str">
        <x:v>FR-CRW-12</x:v>
      </x:c>
      <x:c r="D25" s="24" t="str">
        <x:v>Duy</x:v>
      </x:c>
      <x:c r="E25" s="24" t="str">
        <x:v>Browser/E2E</x:v>
      </x:c>
      <x:c r="F25" s="24" t="str">
        <x:v>Kill worker giữa RUNNING</x:v>
      </x:c>
      <x:c r="G25" s="24" t="str">
        <x:v>Job được phát hiện/khôi phục có kiểm soát; không giả COMPLETE</x:v>
      </x:c>
      <x:c r="H25" s="24" t="str">
        <x:v>Chưa chạy</x:v>
      </x:c>
      <x:c r="I25" s="24" t="str"/>
      <x:c r="J25" s="24" t="str"/>
      <x:c r="K25" s="24" t="str"/>
      <x:c r="L25" s="24" t="str"/>
    </x:row>
    <x:row r="26" ht="44" customHeight="1">
      <x:c r="A26" s="28" t="str">
        <x:v>TC-22</x:v>
      </x:c>
      <x:c r="B26" s="28" t="str">
        <x:v>Dashboard</x:v>
      </x:c>
      <x:c r="C26" s="28" t="str">
        <x:v>FR-CRW-09,FR-CRW-10</x:v>
      </x:c>
      <x:c r="D26" s="28" t="str">
        <x:v>Huy</x:v>
      </x:c>
      <x:c r="E26" s="28" t="str">
        <x:v>Browser/E2E</x:v>
      </x:c>
      <x:c r="F26" s="28" t="str">
        <x:v>Start job, reload trong khi chạy</x:v>
      </x:c>
      <x:c r="G26" s="28" t="str">
        <x:v>Poll hoạt động; reload tiếp tục xem job, không khởi chạy lại</x:v>
      </x:c>
      <x:c r="H26" s="28" t="str">
        <x:v>Chưa chạy</x:v>
      </x:c>
      <x:c r="I26" s="28" t="str"/>
      <x:c r="J26" s="28" t="str"/>
      <x:c r="K26" s="28" t="str"/>
      <x:c r="L26" s="28" t="str"/>
    </x:row>
    <x:row r="27" ht="44" customHeight="1">
      <x:c r="A27" s="24" t="str">
        <x:v>TC-23</x:v>
      </x:c>
      <x:c r="B27" s="24" t="str">
        <x:v>Books</x:v>
      </x:c>
      <x:c r="C27" s="24" t="str">
        <x:v>FR-BOO-01,FR-BOO-02</x:v>
      </x:c>
      <x:c r="D27" s="24" t="str">
        <x:v>Huy</x:v>
      </x:c>
      <x:c r="E27" s="24" t="str">
        <x:v>Browser/E2E</x:v>
      </x:c>
      <x:c r="F27" s="24" t="str">
        <x:v>Tìm theo từ khóa có và không có kết quả</x:v>
      </x:c>
      <x:c r="G27" s="24" t="str">
        <x:v>Pagination và total đúng, empty state rõ</x:v>
      </x:c>
      <x:c r="H27" s="24" t="str">
        <x:v>Chưa chạy</x:v>
      </x:c>
      <x:c r="I27" s="24" t="str"/>
      <x:c r="J27" s="24" t="str"/>
      <x:c r="K27" s="24" t="str"/>
      <x:c r="L27" s="24" t="str"/>
    </x:row>
    <x:row r="28" ht="44" customHeight="1">
      <x:c r="A28" s="28" t="str">
        <x:v>TC-24</x:v>
      </x:c>
      <x:c r="B28" s="28" t="str">
        <x:v>Books</x:v>
      </x:c>
      <x:c r="C28" s="28" t="str">
        <x:v>FR-BOO-03</x:v>
      </x:c>
      <x:c r="D28" s="28" t="str">
        <x:v>Huy</x:v>
      </x:c>
      <x:c r="E28" s="28" t="str">
        <x:v>Browser/E2E</x:v>
      </x:c>
      <x:c r="F28" s="28" t="str">
        <x:v>Lọc giá GBP min/max và sai input</x:v>
      </x:c>
      <x:c r="G28" s="28" t="str">
        <x:v>Đúng range, invalid trả lỗi; pence chính xác</x:v>
      </x:c>
      <x:c r="H28" s="28" t="str">
        <x:v>Chưa chạy</x:v>
      </x:c>
      <x:c r="I28" s="28" t="str"/>
      <x:c r="J28" s="28" t="str"/>
      <x:c r="K28" s="28" t="str"/>
      <x:c r="L28" s="28" t="str"/>
    </x:row>
    <x:row r="29" ht="44" customHeight="1">
      <x:c r="A29" s="24" t="str">
        <x:v>TC-25</x:v>
      </x:c>
      <x:c r="B29" s="24" t="str">
        <x:v>Books</x:v>
      </x:c>
      <x:c r="C29" s="24" t="str">
        <x:v>FR-BOO-04</x:v>
      </x:c>
      <x:c r="D29" s="24" t="str">
        <x:v>Huy</x:v>
      </x:c>
      <x:c r="E29" s="24" t="str">
        <x:v>Browser/E2E</x:v>
      </x:c>
      <x:c r="F29" s="24" t="str">
        <x:v>Mở chi tiết sách và giá lịch sử</x:v>
      </x:c>
      <x:c r="G29" s="24" t="str">
        <x:v>Thông tin book/detail đúng, empty price history hợp lý</x:v>
      </x:c>
      <x:c r="H29" s="24" t="str">
        <x:v>Chưa chạy</x:v>
      </x:c>
      <x:c r="I29" s="24" t="str"/>
      <x:c r="J29" s="24" t="str"/>
      <x:c r="K29" s="24" t="str"/>
      <x:c r="L29" s="24" t="str"/>
    </x:row>
    <x:row r="30" ht="44" customHeight="1">
      <x:c r="A30" s="28" t="str">
        <x:v>TC-26</x:v>
      </x:c>
      <x:c r="B30" s="28" t="str">
        <x:v>Books</x:v>
      </x:c>
      <x:c r="C30" s="28" t="str">
        <x:v>FR-BOO-05,FR-BOO-06</x:v>
      </x:c>
      <x:c r="D30" s="28" t="str">
        <x:v>Huy</x:v>
      </x:c>
      <x:c r="E30" s="28" t="str">
        <x:v>Browser/E2E</x:v>
      </x:c>
      <x:c r="F30" s="28" t="str">
        <x:v>Bookmark/unbookmark và xem Saved</x:v>
      </x:c>
      <x:c r="G30" s="28" t="str">
        <x:v>Tồn tại sau reload, không trùng, đúng user</x:v>
      </x:c>
      <x:c r="H30" s="28" t="str">
        <x:v>Chưa chạy</x:v>
      </x:c>
      <x:c r="I30" s="28" t="str"/>
      <x:c r="J30" s="28" t="str"/>
      <x:c r="K30" s="28" t="str"/>
      <x:c r="L30" s="28" t="str"/>
    </x:row>
    <x:row r="31" ht="44" customHeight="1">
      <x:c r="A31" s="24" t="str">
        <x:v>TC-27</x:v>
      </x:c>
      <x:c r="B31" s="24" t="str">
        <x:v>Books</x:v>
      </x:c>
      <x:c r="C31" s="24" t="str">
        <x:v>FR-BOO-07</x:v>
      </x:c>
      <x:c r="D31" s="24" t="str">
        <x:v>Huy</x:v>
      </x:c>
      <x:c r="E31" s="24" t="str">
        <x:v>Browser/E2E</x:v>
      </x:c>
      <x:c r="F31" s="24" t="str">
        <x:v>Lưu/xóa filter sau khi refresh</x:v>
      </x:c>
      <x:c r="G31" s="24" t="str">
        <x:v>Bộ lọc vẫn có, chỉ owner xóa được</x:v>
      </x:c>
      <x:c r="H31" s="24" t="str">
        <x:v>Chưa chạy</x:v>
      </x:c>
      <x:c r="I31" s="24" t="str"/>
      <x:c r="J31" s="24" t="str"/>
      <x:c r="K31" s="24" t="str"/>
      <x:c r="L31" s="24" t="str"/>
    </x:row>
    <x:row r="32" ht="44" customHeight="1">
      <x:c r="A32" s="28" t="str">
        <x:v>TC-28</x:v>
      </x:c>
      <x:c r="B32" s="28" t="str">
        <x:v>Books</x:v>
      </x:c>
      <x:c r="C32" s="28" t="str">
        <x:v>FR-BOO-08</x:v>
      </x:c>
      <x:c r="D32" s="28" t="str">
        <x:v>Duy</x:v>
      </x:c>
      <x:c r="E32" s="28" t="str">
        <x:v>Browser/E2E</x:v>
      </x:c>
      <x:c r="F32" s="28" t="str">
        <x:v>Xuất CSV mở bằng Excel</x:v>
      </x:c>
      <x:c r="G32" s="28" t="str">
        <x:v>UTF-8 tiếng Việt đúng, giá GBP chính xác; không formula injection</x:v>
      </x:c>
      <x:c r="H32" s="28" t="str">
        <x:v>Chưa chạy</x:v>
      </x:c>
      <x:c r="I32" s="28" t="str"/>
      <x:c r="J32" s="28" t="str"/>
      <x:c r="K32" s="28" t="str"/>
      <x:c r="L32" s="28" t="str"/>
    </x:row>
    <x:row r="33" ht="44" customHeight="1">
      <x:c r="A33" s="24" t="str">
        <x:v>TC-29</x:v>
      </x:c>
      <x:c r="B33" s="24" t="str">
        <x:v>Workspace</x:v>
      </x:c>
      <x:c r="C33" s="24" t="str">
        <x:v>FR-WSP-01</x:v>
      </x:c>
      <x:c r="D33" s="24" t="str">
        <x:v>Huy</x:v>
      </x:c>
      <x:c r="E33" s="24" t="str">
        <x:v>Browser/E2E</x:v>
      </x:c>
      <x:c r="F33" s="24" t="str">
        <x:v>DB mới không có sách</x:v>
      </x:c>
      <x:c r="G33" s="24" t="str">
        <x:v>KPI 0 và thông báo rỗng, không dùng fixture</x:v>
      </x:c>
      <x:c r="H33" s="24" t="str">
        <x:v>Chưa chạy</x:v>
      </x:c>
      <x:c r="I33" s="24" t="str"/>
      <x:c r="J33" s="24" t="str"/>
      <x:c r="K33" s="24" t="str"/>
      <x:c r="L33" s="24" t="str"/>
    </x:row>
    <x:row r="34" ht="44" customHeight="1">
      <x:c r="A34" s="28" t="str">
        <x:v>TC-30</x:v>
      </x:c>
      <x:c r="B34" s="28" t="str">
        <x:v>Workspace</x:v>
      </x:c>
      <x:c r="C34" s="28" t="str">
        <x:v>FR-WSP-02</x:v>
      </x:c>
      <x:c r="D34" s="28" t="str">
        <x:v>Duy</x:v>
      </x:c>
      <x:c r="E34" s="28" t="str">
        <x:v>Browser/E2E</x:v>
      </x:c>
      <x:c r="F34" s="28" t="str">
        <x:v>Lịch sử jobs của A/B và try URL khác</x:v>
      </x:c>
      <x:c r="G34" s="28" t="str">
        <x:v>Không lộ job người khác, API 404 đối tượng lạ</x:v>
      </x:c>
      <x:c r="H34" s="28" t="str">
        <x:v>Chưa chạy</x:v>
      </x:c>
      <x:c r="I34" s="28" t="str"/>
      <x:c r="J34" s="28" t="str"/>
      <x:c r="K34" s="28" t="str"/>
      <x:c r="L34" s="28" t="str"/>
    </x:row>
    <x:row r="35" ht="44" customHeight="1">
      <x:c r="A35" s="24" t="str">
        <x:v>TC-31</x:v>
      </x:c>
      <x:c r="B35" s="24" t="str">
        <x:v>Workspace</x:v>
      </x:c>
      <x:c r="C35" s="24" t="str">
        <x:v>FR-WSP-03</x:v>
      </x:c>
      <x:c r="D35" s="24" t="str">
        <x:v>Huy</x:v>
      </x:c>
      <x:c r="E35" s="24" t="str">
        <x:v>Browser/E2E</x:v>
      </x:c>
      <x:c r="F35" s="24" t="str">
        <x:v>Kiểm analytics sau crawl</x:v>
      </x:c>
      <x:c r="G35" s="24" t="str">
        <x:v>Chart/book counts khớp SQL, nguồn GBP</x:v>
      </x:c>
      <x:c r="H35" s="24" t="str">
        <x:v>Chưa chạy</x:v>
      </x:c>
      <x:c r="I35" s="24" t="str"/>
      <x:c r="J35" s="24" t="str"/>
      <x:c r="K35" s="24" t="str"/>
      <x:c r="L35" s="24" t="str"/>
    </x:row>
    <x:row r="36" ht="44" customHeight="1">
      <x:c r="A36" s="28" t="str">
        <x:v>TC-32</x:v>
      </x:c>
      <x:c r="B36" s="28" t="str">
        <x:v>Workspace</x:v>
      </x:c>
      <x:c r="C36" s="28" t="str">
        <x:v>FR-WSP-04,FR-WSP-05</x:v>
      </x:c>
      <x:c r="D36" s="28" t="str">
        <x:v>Quý</x:v>
      </x:c>
      <x:c r="E36" s="28" t="str">
        <x:v>Browser/E2E</x:v>
      </x:c>
      <x:c r="F36" s="28" t="str">
        <x:v>Mở Sources và Help</x:v>
      </x:c>
      <x:c r="G36" s="28" t="str">
        <x:v>Nêu giới hạn nguồn, hướng dẫn đúng chức năng code</x:v>
      </x:c>
      <x:c r="H36" s="28" t="str">
        <x:v>Chưa chạy</x:v>
      </x:c>
      <x:c r="I36" s="28" t="str"/>
      <x:c r="J36" s="28" t="str"/>
      <x:c r="K36" s="28" t="str"/>
      <x:c r="L36" s="28" t="str"/>
    </x:row>
    <x:row r="37" ht="44" customHeight="1">
      <x:c r="A37" s="24" t="str">
        <x:v>TC-33</x:v>
      </x:c>
      <x:c r="B37" s="24" t="str">
        <x:v>UX</x:v>
      </x:c>
      <x:c r="C37" s="24" t="str">
        <x:v>FR-WSP-06</x:v>
      </x:c>
      <x:c r="D37" s="24" t="str">
        <x:v>Huy</x:v>
      </x:c>
      <x:c r="E37" s="24" t="str">
        <x:v>Browser/E2E</x:v>
      </x:c>
      <x:c r="F37" s="24" t="str">
        <x:v>Chrome/Edge 320/768/1366px + keyboard</x:v>
      </x:c>
      <x:c r="G37" s="24" t="str">
        <x:v>Không tràn/che, modal/form/focus dùng được</x:v>
      </x:c>
      <x:c r="H37" s="24" t="str">
        <x:v>Chưa chạy</x:v>
      </x:c>
      <x:c r="I37" s="24" t="str"/>
      <x:c r="J37" s="24" t="str"/>
      <x:c r="K37" s="24" t="str"/>
      <x:c r="L37" s="24" t="str"/>
    </x:row>
    <x:row r="38" ht="44" customHeight="1">
      <x:c r="A38" s="28" t="str">
        <x:v>TC-34</x:v>
      </x:c>
      <x:c r="B38" s="28" t="str">
        <x:v>Security</x:v>
      </x:c>
      <x:c r="C38" s="28" t="str">
        <x:v>FR-PLT-01</x:v>
      </x:c>
      <x:c r="D38" s="28" t="str">
        <x:v>Duy</x:v>
      </x:c>
      <x:c r="E38" s="28" t="str">
        <x:v>Browser/E2E</x:v>
      </x:c>
      <x:c r="F38" s="28" t="str">
        <x:v>Gửi POST/PATCH thiếu/sai X-CSRF-Token</x:v>
      </x:c>
      <x:c r="G38" s="28" t="str">
        <x:v>403, request không gây mutation</x:v>
      </x:c>
      <x:c r="H38" s="28" t="str">
        <x:v>Chưa chạy</x:v>
      </x:c>
      <x:c r="I38" s="28" t="str"/>
      <x:c r="J38" s="28" t="str"/>
      <x:c r="K38" s="28" t="str"/>
      <x:c r="L38" s="28" t="str"/>
    </x:row>
    <x:row r="39" ht="44" customHeight="1">
      <x:c r="A39" s="24" t="str">
        <x:v>TC-35</x:v>
      </x:c>
      <x:c r="B39" s="24" t="str">
        <x:v>Security</x:v>
      </x:c>
      <x:c r="C39" s="24" t="str">
        <x:v>FR-PLT-02</x:v>
      </x:c>
      <x:c r="D39" s="24" t="str">
        <x:v>Duy</x:v>
      </x:c>
      <x:c r="E39" s="24" t="str">
        <x:v>Browser/E2E</x:v>
      </x:c>
      <x:c r="F39" s="24" t="str">
        <x:v>Kiểm session cookie/CSP và Apache url</x:v>
      </x:c>
      <x:c r="G39" s="24" t="str">
        <x:v>Không lộ SQLite/.env, cookie flags/headers đúng</x:v>
      </x:c>
      <x:c r="H39" s="24" t="str">
        <x:v>Chưa chạy</x:v>
      </x:c>
      <x:c r="I39" s="24" t="str"/>
      <x:c r="J39" s="24" t="str"/>
      <x:c r="K39" s="24" t="str"/>
      <x:c r="L39" s="24" t="str"/>
    </x:row>
    <x:row r="40" ht="44" customHeight="1">
      <x:c r="A40" s="28" t="str">
        <x:v>TC-36</x:v>
      </x:c>
      <x:c r="B40" s="28" t="str">
        <x:v>Database</x:v>
      </x:c>
      <x:c r="C40" s="28" t="str">
        <x:v>FR-PLT-03</x:v>
      </x:c>
      <x:c r="D40" s="28" t="str">
        <x:v>Duy</x:v>
      </x:c>
      <x:c r="E40" s="28" t="str">
        <x:v>Browser/E2E</x:v>
      </x:c>
      <x:c r="F40" s="28" t="str">
        <x:v>Upgrade bản sao DB V3→V4</x:v>
      </x:c>
      <x:c r="G40" s="28" t="str">
        <x:v>Giữ book/job; backup có thể phục hồi; integrity/FK OK</x:v>
      </x:c>
      <x:c r="H40" s="28" t="str">
        <x:v>Chưa chạy</x:v>
      </x:c>
      <x:c r="I40" s="28" t="str"/>
      <x:c r="J40" s="28" t="str"/>
      <x:c r="K40" s="28" t="str"/>
      <x:c r="L40" s="28" t="str"/>
    </x:row>
    <x:row r="41" ht="44" customHeight="1">
      <x:c r="A41" s="24" t="str">
        <x:v>TC-37</x:v>
      </x:c>
      <x:c r="B41" s="24" t="str">
        <x:v>Regression</x:v>
      </x:c>
      <x:c r="C41" s="24" t="str">
        <x:v>FR-PLT-04</x:v>
      </x:c>
      <x:c r="D41" s="24" t="str">
        <x:v>Quý</x:v>
      </x:c>
      <x:c r="E41" s="24" t="str">
        <x:v>Browser/E2E</x:v>
      </x:c>
      <x:c r="F41" s="24" t="str">
        <x:v>Chạy pytest trên máy có Flask/Scrapy</x:v>
      </x:c>
      <x:c r="G41" s="24" t="str">
        <x:v>0 fail, 0 skipped do thiếu package; đính kèm log</x:v>
      </x:c>
      <x:c r="H41" s="24" t="str">
        <x:v>Chưa chạy</x:v>
      </x:c>
      <x:c r="I41" s="24" t="str"/>
      <x:c r="J41" s="24" t="str"/>
      <x:c r="K41" s="24" t="str"/>
      <x:c r="L41" s="24" t="str"/>
    </x:row>
  </x:sheetData>
  <x:mergeCells>
    <x:mergeCell ref="A1:L1"/>
    <x:mergeCell ref="A2:L2"/>
  </x:mergeCells>
  <x:conditionalFormatting sqref="H5:H41">
    <x:cfRule type="expression" dxfId="2" priority="1">
      <x:formula>H5="PASS"</x:formula>
    </x:cfRule>
    <x:cfRule type="expression" dxfId="3" priority="2">
      <x:formula>H5="FAIL"</x:formula>
    </x:cfRule>
  </x:conditionalFormatting>
  <x:dataValidations count="1">
    <x:dataValidation type="list" sqref="H5:H41">
      <x:formula1>"Chưa chạy,Đang chạy,PASS,FAIL,BLOCKED,N/A có lý 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4fb42230a94750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9" hidden="0" customWidth="1"/>
    <x:col min="3" max="3" width="12" hidden="0" customWidth="1"/>
    <x:col min="4" max="4" width="18" hidden="0" customWidth="1"/>
    <x:col min="5" max="5" width="22" hidden="0" customWidth="1"/>
    <x:col min="6" max="6" width="48" hidden="0" customWidth="1"/>
    <x:col min="7" max="7" width="47" hidden="0" customWidth="1"/>
    <x:col min="8" max="8" width="15" hidden="0" customWidth="1"/>
    <x:col min="9" max="9" width="22" hidden="0" customWidth="1"/>
    <x:col min="10" max="10" width="22" hidden="0" customWidth="1"/>
    <x:col min="11" max="11" width="30" hidden="0" customWidth="1"/>
  </x:cols>
  <x:sheetData>
    <x:row r="1" ht="34" customHeight="1">
      <x:c r="A1" s="4" t="str">
        <x:v>BACKLOG MỞ RỘNG · KHÔNG PHẢI ĐÃ HOÀN THÀNH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6" customHeight="1">
      <x:c r="A2" s="10" t="str">
        <x:v>Chỉ nhận BKL P1/P2 sau khi tính năng lõi được nghiệm thu. Mọi thay đổi phải qua SRS/API/TC.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30" customHeight="1">
      <x:c r="A4" s="17" t="str">
        <x:v>BKL ID</x:v>
      </x:c>
      <x:c r="B4" s="17" t="str">
        <x:v>Tên mở rộng</x:v>
      </x:c>
      <x:c r="C4" s="17" t="str">
        <x:v>Ưu tiên</x:v>
      </x:c>
      <x:c r="D4" s="17" t="str">
        <x:v>Độ phức tạp</x:v>
      </x:c>
      <x:c r="E4" s="17" t="str">
        <x:v>Hiện trạng</x:v>
      </x:c>
      <x:c r="F4" s="17" t="str">
        <x:v>Lợi ích</x:v>
      </x:c>
      <x:c r="G4" s="17" t="str">
        <x:v>Phụ thuộc/gate</x:v>
      </x:c>
      <x:c r="H4" s="17" t="str">
        <x:v>Giờ dự kiến</x:v>
      </x:c>
      <x:c r="I4" s="17" t="str">
        <x:v>Owner đề xuất</x:v>
      </x:c>
      <x:c r="J4" s="17" t="str">
        <x:v>Trạng thái phát triển</x:v>
      </x:c>
      <x:c r="K4" s="17" t="str">
        <x:v>Ghi chú</x:v>
      </x:c>
    </x:row>
    <x:row r="5" ht="44" customHeight="1">
      <x:c r="A5" s="24" t="str">
        <x:v>BKL-01</x:v>
      </x:c>
      <x:c r="B5" s="24" t="str">
        <x:v>Admin dashboard + RBAC</x:v>
      </x:c>
      <x:c r="C5" s="24" t="str">
        <x:v>P2</x:v>
      </x:c>
      <x:c r="D5" s="24" t="str">
        <x:v>Cao</x:v>
      </x:c>
      <x:c r="E5" s="24" t="str">
        <x:v>Chưa code</x:v>
      </x:c>
      <x:c r="F5" s="24" t="str">
        <x:v>Admin xem job tổng, không sửa dữ liệu nguồn</x:v>
      </x:c>
      <x:c r="G5" s="24" t="str">
        <x:v>Database 005 users.role + API policies + threat model</x:v>
      </x:c>
      <x:c r="H5" s="24" t="n">
        <x:v>10</x:v>
      </x:c>
      <x:c r="I5" s="24" t="str">
        <x:v>Duy</x:v>
      </x:c>
      <x:c r="J5" s="24" t="str">
        <x:v>Chưa khởi động</x:v>
      </x:c>
      <x:c r="K5" s="24" t="str">
        <x:v>Không tự kéo vào sprint nếu P0 chưa đạt</x:v>
      </x:c>
    </x:row>
    <x:row r="6" ht="44" customHeight="1">
      <x:c r="A6" s="28" t="str">
        <x:v>BKL-02</x:v>
      </x:c>
      <x:c r="B6" s="28" t="str">
        <x:v>Đăng ký xác minh email</x:v>
      </x:c>
      <x:c r="C6" s="28" t="str">
        <x:v>P2</x:v>
      </x:c>
      <x:c r="D6" s="28" t="str">
        <x:v>Trung bình</x:v>
      </x:c>
      <x:c r="E6" s="28" t="str">
        <x:v>Chưa code</x:v>
      </x:c>
      <x:c r="F6" s="28" t="str">
        <x:v>Xác thực email trước khi bật account nhạy cảm</x:v>
      </x:c>
      <x:c r="G6" s="28" t="str">
        <x:v>SMTP &amp; verification token schema</x:v>
      </x:c>
      <x:c r="H6" s="28" t="n">
        <x:v>7</x:v>
      </x:c>
      <x:c r="I6" s="28" t="str">
        <x:v>Duy</x:v>
      </x:c>
      <x:c r="J6" s="28" t="str">
        <x:v>Chưa khởi động</x:v>
      </x:c>
      <x:c r="K6" s="28" t="str">
        <x:v>Không tự kéo vào sprint nếu P0 chưa đạt</x:v>
      </x:c>
    </x:row>
    <x:row r="7" ht="44" customHeight="1">
      <x:c r="A7" s="24" t="str">
        <x:v>BKL-03</x:v>
      </x:c>
      <x:c r="B7" s="24" t="str">
        <x:v>Nút Cancel job an toàn</x:v>
      </x:c>
      <x:c r="C7" s="24" t="str">
        <x:v>P1</x:v>
      </x:c>
      <x:c r="D7" s="24" t="str">
        <x:v>Cao</x:v>
      </x:c>
      <x:c r="E7" s="24" t="str">
        <x:v>Chưa code</x:v>
      </x:c>
      <x:c r="F7" s="24" t="str">
        <x:v>Người tạo có thể yêu cầu hủy, worker dừng sạch</x:v>
      </x:c>
      <x:c r="G7" s="24" t="str">
        <x:v>Job state machine + process ownership</x:v>
      </x:c>
      <x:c r="H7" s="24" t="n">
        <x:v>9</x:v>
      </x:c>
      <x:c r="I7" s="24" t="str">
        <x:v>Quý</x:v>
      </x:c>
      <x:c r="J7" s="24" t="str">
        <x:v>Chưa khởi động</x:v>
      </x:c>
      <x:c r="K7" s="24" t="str">
        <x:v>Không tự kéo vào sprint nếu P0 chưa đạt</x:v>
      </x:c>
    </x:row>
    <x:row r="8" ht="44" customHeight="1">
      <x:c r="A8" s="28" t="str">
        <x:v>BKL-04</x:v>
      </x:c>
      <x:c r="B8" s="28" t="str">
        <x:v>Crawl scheduler</x:v>
      </x:c>
      <x:c r="C8" s="28" t="str">
        <x:v>P2</x:v>
      </x:c>
      <x:c r="D8" s="28" t="str">
        <x:v>Cao</x:v>
      </x:c>
      <x:c r="E8" s="28" t="str">
        <x:v>Chưa code</x:v>
      </x:c>
      <x:c r="F8" s="28" t="str">
        <x:v>Lập lịch crawl nguồn sandbox trong hạn mức</x:v>
      </x:c>
      <x:c r="G8" s="28" t="str">
        <x:v>Persistent scheduler + retry/locking</x:v>
      </x:c>
      <x:c r="H8" s="28" t="n">
        <x:v>10</x:v>
      </x:c>
      <x:c r="I8" s="28" t="str">
        <x:v>Quý</x:v>
      </x:c>
      <x:c r="J8" s="28" t="str">
        <x:v>Chưa khởi động</x:v>
      </x:c>
      <x:c r="K8" s="28" t="str">
        <x:v>Không tự kéo vào sprint nếu P0 chưa đạt</x:v>
      </x:c>
    </x:row>
    <x:row r="9" ht="44" customHeight="1">
      <x:c r="A9" s="24" t="str">
        <x:v>BKL-05</x:v>
      </x:c>
      <x:c r="B9" s="24" t="str">
        <x:v>Nâng monitor progress</x:v>
      </x:c>
      <x:c r="C9" s="24" t="str">
        <x:v>P1</x:v>
      </x:c>
      <x:c r="D9" s="24" t="str">
        <x:v>Trung bình</x:v>
      </x:c>
      <x:c r="E9" s="24" t="str">
        <x:v>Có nền jobs/events</x:v>
      </x:c>
      <x:c r="F9" s="24" t="str">
        <x:v>Số item/total/error dễ hiểu; log filter, progress timeline</x:v>
      </x:c>
      <x:c r="G9" s="24" t="str">
        <x:v>Đảm bảo counters meaningful live</x:v>
      </x:c>
      <x:c r="H9" s="24" t="n">
        <x:v>7</x:v>
      </x:c>
      <x:c r="I9" s="24" t="str">
        <x:v>Huy</x:v>
      </x:c>
      <x:c r="J9" s="24" t="str">
        <x:v>Chưa khởi động</x:v>
      </x:c>
      <x:c r="K9" s="24" t="str">
        <x:v>Không tự kéo vào sprint nếu P0 chưa đạt</x:v>
      </x:c>
    </x:row>
    <x:row r="10" ht="44" customHeight="1">
      <x:c r="A10" s="28" t="str">
        <x:v>BKL-06</x:v>
      </x:c>
      <x:c r="B10" s="28" t="str">
        <x:v>Xuất báo cáo PDF/Excel thống kê</x:v>
      </x:c>
      <x:c r="C10" s="28" t="str">
        <x:v>P2</x:v>
      </x:c>
      <x:c r="D10" s="28" t="str">
        <x:v>Trung bình</x:v>
      </x:c>
      <x:c r="E10" s="28" t="str">
        <x:v>Chưa code</x:v>
      </x:c>
      <x:c r="F10" s="28" t="str">
        <x:v>Report người dùng dùng dữ liệu thật</x:v>
      </x:c>
      <x:c r="G10" s="28" t="str">
        <x:v>QA CSV + chart metrics</x:v>
      </x:c>
      <x:c r="H10" s="28" t="n">
        <x:v>8</x:v>
      </x:c>
      <x:c r="I10" s="28" t="str">
        <x:v>Huy</x:v>
      </x:c>
      <x:c r="J10" s="28" t="str">
        <x:v>Chưa khởi động</x:v>
      </x:c>
      <x:c r="K10" s="28" t="str">
        <x:v>Không tự kéo vào sprint nếu P0 chưa đạt</x:v>
      </x:c>
    </x:row>
    <x:row r="11" ht="44" customHeight="1">
      <x:c r="A11" s="24" t="str">
        <x:v>BKL-07</x:v>
      </x:c>
      <x:c r="B11" s="24" t="str">
        <x:v>Lọc nâng cao theo category/rating</x:v>
      </x:c>
      <x:c r="C11" s="24" t="str">
        <x:v>P1</x:v>
      </x:c>
      <x:c r="D11" s="24" t="str">
        <x:v>Thấp</x:v>
      </x:c>
      <x:c r="E11" s="24" t="str">
        <x:v>Chưa code</x:v>
      </x:c>
      <x:c r="F11" s="24" t="str">
        <x:v>Danh mục, sao, sort theo giá và reset filter</x:v>
      </x:c>
      <x:c r="G11" s="24" t="str">
        <x:v>API sorting whitelist + UI</x:v>
      </x:c>
      <x:c r="H11" s="24" t="n">
        <x:v>6</x:v>
      </x:c>
      <x:c r="I11" s="24" t="str">
        <x:v>Huy</x:v>
      </x:c>
      <x:c r="J11" s="24" t="str">
        <x:v>Chưa khởi động</x:v>
      </x:c>
      <x:c r="K11" s="24" t="str">
        <x:v>Không tự kéo vào sprint nếu P0 chưa đạt</x:v>
      </x:c>
    </x:row>
    <x:row r="12" ht="44" customHeight="1">
      <x:c r="A12" s="28" t="str">
        <x:v>BKL-08</x:v>
      </x:c>
      <x:c r="B12" s="28" t="str">
        <x:v>Thống kê biến động theo thời gian</x:v>
      </x:c>
      <x:c r="C12" s="28" t="str">
        <x:v>P1</x:v>
      </x:c>
      <x:c r="D12" s="28" t="str">
        <x:v>Trung bình</x:v>
      </x:c>
      <x:c r="E12" s="28" t="str">
        <x:v>Có book_price_history</x:v>
      </x:c>
      <x:c r="F12" s="28" t="str">
        <x:v>Biểu đồ dựa trên sự kiện đổi giá thực</x:v>
      </x:c>
      <x:c r="G12" s="28" t="str">
        <x:v>Dataset nhiều job có thay đổi</x:v>
      </x:c>
      <x:c r="H12" s="28" t="n">
        <x:v>6</x:v>
      </x:c>
      <x:c r="I12" s="28" t="str">
        <x:v>Quý</x:v>
      </x:c>
      <x:c r="J12" s="28" t="str">
        <x:v>Chưa khởi động</x:v>
      </x:c>
      <x:c r="K12" s="28" t="str">
        <x:v>Không tự kéo vào sprint nếu P0 chưa đạt</x:v>
      </x:c>
    </x:row>
    <x:row r="13" ht="44" customHeight="1">
      <x:c r="A13" s="24" t="str">
        <x:v>BKL-09</x:v>
      </x:c>
      <x:c r="B13" s="24" t="str">
        <x:v>Nhật ký hoạt động người dùng</x:v>
      </x:c>
      <x:c r="C13" s="24" t="str">
        <x:v>P2</x:v>
      </x:c>
      <x:c r="D13" s="24" t="str">
        <x:v>Trung bình</x:v>
      </x:c>
      <x:c r="E13" s="24" t="str">
        <x:v>Chưa code</x:v>
      </x:c>
      <x:c r="F13" s="24" t="str">
        <x:v>Audit log cho thay đổi bảo mật</x:v>
      </x:c>
      <x:c r="G13" s="24" t="str">
        <x:v>Privacy/retention policy + migration 005</x:v>
      </x:c>
      <x:c r="H13" s="24" t="n">
        <x:v>6</x:v>
      </x:c>
      <x:c r="I13" s="24" t="str">
        <x:v>Duy</x:v>
      </x:c>
      <x:c r="J13" s="24" t="str">
        <x:v>Chưa khởi động</x:v>
      </x:c>
      <x:c r="K13" s="24" t="str">
        <x:v>Không tự kéo vào sprint nếu P0 chưa đạt</x:v>
      </x:c>
    </x:row>
    <x:row r="14" ht="44" customHeight="1">
      <x:c r="A14" s="28" t="str">
        <x:v>BKL-10</x:v>
      </x:c>
      <x:c r="B14" s="28" t="str">
        <x:v>SEO + accessibility audit</x:v>
      </x:c>
      <x:c r="C14" s="28" t="str">
        <x:v>P1</x:v>
      </x:c>
      <x:c r="D14" s="28" t="str">
        <x:v>Thấp</x:v>
      </x:c>
      <x:c r="E14" s="28" t="str">
        <x:v>UI baseline</x:v>
      </x:c>
      <x:c r="F14" s="28" t="str">
        <x:v>Điểm lighthouse/a11y đo được và bugfix</x:v>
      </x:c>
      <x:c r="G14" s="28" t="str">
        <x:v>Visual QA hiện tại</x:v>
      </x:c>
      <x:c r="H14" s="28" t="n">
        <x:v>8</x:v>
      </x:c>
      <x:c r="I14" s="28" t="str">
        <x:v>Huy</x:v>
      </x:c>
      <x:c r="J14" s="28" t="str">
        <x:v>Chưa khởi động</x:v>
      </x:c>
      <x:c r="K14" s="28" t="str">
        <x:v>Không tự kéo vào sprint nếu P0 chưa đạt</x:v>
      </x:c>
    </x:row>
    <x:row r="15" ht="44" customHeight="1">
      <x:c r="A15" s="24" t="str">
        <x:v>BKL-11</x:v>
      </x:c>
      <x:c r="B15" s="24" t="str">
        <x:v>Thêm nguồn sandbox thứ hai</x:v>
      </x:c>
      <x:c r="C15" s="24" t="str">
        <x:v>P2</x:v>
      </x:c>
      <x:c r="D15" s="24" t="str">
        <x:v>Rất cao</x:v>
      </x:c>
      <x:c r="E15" s="24" t="str">
        <x:v>Chưa code</x:v>
      </x:c>
      <x:c r="F15" s="24" t="str">
        <x:v>Spider per site và policy riêng, không crawl URL tùy ý</x:v>
      </x:c>
      <x:c r="G15" s="24" t="str">
        <x:v>Crawl live hiện tại ổn + policy review</x:v>
      </x:c>
      <x:c r="H15" s="24" t="n">
        <x:v>16</x:v>
      </x:c>
      <x:c r="I15" s="24" t="str">
        <x:v>Quý</x:v>
      </x:c>
      <x:c r="J15" s="24" t="str">
        <x:v>Chưa khởi động</x:v>
      </x:c>
      <x:c r="K15" s="24" t="str">
        <x:v>Không tự kéo vào sprint nếu P0 chưa đạt</x:v>
      </x:c>
    </x:row>
    <x:row r="16" ht="44" customHeight="1">
      <x:c r="A16" s="28" t="str">
        <x:v>BKL-12</x:v>
      </x:c>
      <x:c r="B16" s="28" t="str">
        <x:v>Production deployment HTTPS</x:v>
      </x:c>
      <x:c r="C16" s="28" t="str">
        <x:v>P2</x:v>
      </x:c>
      <x:c r="D16" s="28" t="str">
        <x:v>Rất cao</x:v>
      </x:c>
      <x:c r="E16" s="28" t="str">
        <x:v>Chưa code</x:v>
      </x:c>
      <x:c r="F16" s="28" t="str">
        <x:v>Hosted domain, HTTPS, backups, healthcheck</x:v>
      </x:c>
      <x:c r="G16" s="28" t="str">
        <x:v>Security audit + privacy docs</x:v>
      </x:c>
      <x:c r="H16" s="28" t="n">
        <x:v>18</x:v>
      </x:c>
      <x:c r="I16" s="28" t="str">
        <x:v>Duy</x:v>
      </x:c>
      <x:c r="J16" s="28" t="str">
        <x:v>Chưa khởi động</x:v>
      </x:c>
      <x:c r="K16" s="28" t="str">
        <x:v>Không tự kéo vào sprint nếu P0 chưa đạt</x:v>
      </x:c>
    </x:row>
    <x:row r="17" ht="44" customHeight="1">
      <x:c r="A17" s="24" t="str">
        <x:v>BKL-13</x:v>
      </x:c>
      <x:c r="B17" s="24" t="str">
        <x:v>Thử nghiệm browser automated E2E</x:v>
      </x:c>
      <x:c r="C17" s="24" t="str">
        <x:v>P1</x:v>
      </x:c>
      <x:c r="D17" s="24" t="str">
        <x:v>Trung bình</x:v>
      </x:c>
      <x:c r="E17" s="24" t="str">
        <x:v>Chưa có</x:v>
      </x:c>
      <x:c r="F17" s="24" t="str">
        <x:v>Playwright tests login/bookmark/crawl với fixtures</x:v>
      </x:c>
      <x:c r="G17" s="24" t="str">
        <x:v>Flask test server &amp; deterministic data</x:v>
      </x:c>
      <x:c r="H17" s="24" t="n">
        <x:v>8</x:v>
      </x:c>
      <x:c r="I17" s="24" t="str">
        <x:v>Huy</x:v>
      </x:c>
      <x:c r="J17" s="24" t="str">
        <x:v>Chưa khởi động</x:v>
      </x:c>
      <x:c r="K17" s="24" t="str">
        <x:v>Không tự kéo vào sprint nếu P0 chưa đạt</x:v>
      </x:c>
    </x:row>
    <x:row r="18" ht="44" customHeight="1">
      <x:c r="A18" s="28" t="str">
        <x:v>BKL-14</x:v>
      </x:c>
      <x:c r="B18" s="28" t="str">
        <x:v>Thông báo job hoàn tất trong app</x:v>
      </x:c>
      <x:c r="C18" s="28" t="str">
        <x:v>P2</x:v>
      </x:c>
      <x:c r="D18" s="28" t="str">
        <x:v>Trung bình</x:v>
      </x:c>
      <x:c r="E18" s="28" t="str">
        <x:v>Chưa code</x:v>
      </x:c>
      <x:c r="F18" s="28" t="str">
        <x:v>Notification inbox per-user</x:v>
      </x:c>
      <x:c r="G18" s="28" t="str">
        <x:v>background status + DB migration</x:v>
      </x:c>
      <x:c r="H18" s="28" t="n">
        <x:v>8</x:v>
      </x:c>
      <x:c r="I18" s="28" t="str">
        <x:v>Duy</x:v>
      </x:c>
      <x:c r="J18" s="28" t="str">
        <x:v>Chưa khởi động</x:v>
      </x:c>
      <x:c r="K18" s="28" t="str">
        <x:v>Không tự kéo vào sprint nếu P0 chưa đạt</x:v>
      </x:c>
    </x:row>
  </x:sheetData>
  <x:mergeCells>
    <x:mergeCell ref="A1:K1"/>
    <x:mergeCell ref="A2:K2"/>
  </x:mergeCells>
  <x:dataValidations count="1">
    <x:dataValidation type="list" sqref="J5:J18">
      <x:formula1>"Chưa khởi động,Phân tích,Đang code,Chờ QA,Đã nghiệm thu,Tạm hoãn"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3520e8526e4a10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3" hidden="0" customWidth="1"/>
    <x:col min="2" max="2" width="25" hidden="0" customWidth="1"/>
    <x:col min="3" max="3" width="25" hidden="0" customWidth="1"/>
    <x:col min="4" max="4" width="62" hidden="0" customWidth="1"/>
    <x:col min="5" max="5" width="45" hidden="0" customWidth="1"/>
    <x:col min="6" max="6" width="30" hidden="0" customWidth="1"/>
  </x:cols>
  <x:sheetData>
    <x:row r="1" ht="34" customHeight="1">
      <x:c r="A1" s="4" t="str">
        <x:v>CODE OWNERSHIP / RACI</x:v>
      </x:c>
      <x:c r="B1" s="4"/>
      <x:c r="C1" s="4"/>
      <x:c r="D1" s="4"/>
      <x:c r="E1" s="4"/>
      <x:c r="F1" s="4"/>
    </x:row>
    <x:row r="2" ht="26" customHeight="1">
      <x:c r="A2" s="10" t="str">
        <x:v>Một owner chính cho mỗi file/module để tránh conflict khi dùng AI Agent.</x:v>
      </x:c>
      <x:c r="B2" s="10"/>
      <x:c r="C2" s="10"/>
      <x:c r="D2" s="10"/>
      <x:c r="E2" s="10"/>
      <x:c r="F2" s="10"/>
    </x:row>
    <x:row r="4" ht="30" customHeight="1">
      <x:c r="A4" s="17" t="str">
        <x:v>Folder / Module</x:v>
      </x:c>
      <x:c r="B4" s="17" t="str">
        <x:v>Responsible (code)</x:v>
      </x:c>
      <x:c r="C4" s="17" t="str">
        <x:v>Reviewer</x:v>
      </x:c>
      <x:c r="D4" s="17" t="str">
        <x:v>Phạm vi / Rules</x:v>
      </x:c>
      <x:c r="E4" s="17" t="str">
        <x:v>Chiến lược branch</x:v>
      </x:c>
      <x:c r="F4" s="17" t="str">
        <x:v>Tài liệu liên quan</x:v>
      </x:c>
    </x:row>
    <x:row r="5" ht="44" customHeight="1">
      <x:c r="A5" s="24" t="str">
        <x:v>templates/</x:v>
      </x:c>
      <x:c r="B5" s="24" t="str">
        <x:v>Huy</x:v>
      </x:c>
      <x:c r="C5" s="24" t="str">
        <x:v>Duy</x:v>
      </x:c>
      <x:c r="D5" s="24" t="str">
        <x:v>Landing, auth, workspace VI/EN, Jinja</x:v>
      </x:c>
      <x:c r="E5" s="24" t="str">
        <x:v>feature/TK-###; PR review; không force push main</x:v>
      </x:c>
      <x:c r="F5" s="24" t="str">
        <x:v>PROJECT_STRUCTURE.md; SRS 4.1</x:v>
      </x:c>
    </x:row>
    <x:row r="6" ht="44" customHeight="1">
      <x:c r="A6" s="28" t="str">
        <x:v>static/css/</x:v>
      </x:c>
      <x:c r="B6" s="28" t="str">
        <x:v>Huy</x:v>
      </x:c>
      <x:c r="C6" s="28" t="str">
        <x:v>Quý</x:v>
      </x:c>
      <x:c r="D6" s="28" t="str">
        <x:v>Design tokens, responsive, dark/light</x:v>
      </x:c>
      <x:c r="E6" s="28" t="str">
        <x:v>feature/TK-###; PR review; không force push main</x:v>
      </x:c>
      <x:c r="F6" s="28" t="str">
        <x:v>PROJECT_STRUCTURE.md; SRS 4.1</x:v>
      </x:c>
    </x:row>
    <x:row r="7" ht="44" customHeight="1">
      <x:c r="A7" s="24" t="str">
        <x:v>static/js/</x:v>
      </x:c>
      <x:c r="B7" s="24" t="str">
        <x:v>Huy</x:v>
      </x:c>
      <x:c r="C7" s="24" t="str">
        <x:v>Duy</x:v>
      </x:c>
      <x:c r="D7" s="24" t="str">
        <x:v>Fetch API, UX/forms, charts, language</x:v>
      </x:c>
      <x:c r="E7" s="24" t="str">
        <x:v>feature/TK-###; PR review; không force push main</x:v>
      </x:c>
      <x:c r="F7" s="24" t="str">
        <x:v>PROJECT_STRUCTURE.md; SRS 4.1</x:v>
      </x:c>
    </x:row>
    <x:row r="8" ht="44" customHeight="1">
      <x:c r="A8" s="28" t="str">
        <x:v>src/web/auth.py</x:v>
      </x:c>
      <x:c r="B8" s="28" t="str">
        <x:v>Duy</x:v>
      </x:c>
      <x:c r="C8" s="28" t="str">
        <x:v>Huy</x:v>
      </x:c>
      <x:c r="D8" s="28" t="str">
        <x:v>Auth API, session recovery, security</x:v>
      </x:c>
      <x:c r="E8" s="28" t="str">
        <x:v>feature/TK-###; PR review; không force push main</x:v>
      </x:c>
      <x:c r="F8" s="28" t="str">
        <x:v>PROJECT_STRUCTURE.md; SRS 4.1</x:v>
      </x:c>
    </x:row>
    <x:row r="9" ht="44" customHeight="1">
      <x:c r="A9" s="24" t="str">
        <x:v>src/web/workspace.py</x:v>
      </x:c>
      <x:c r="B9" s="24" t="str">
        <x:v>Duy</x:v>
      </x:c>
      <x:c r="C9" s="24" t="str">
        <x:v>Huy</x:v>
      </x:c>
      <x:c r="D9" s="24" t="str">
        <x:v>Books/jobs/personal APIs, CSV</x:v>
      </x:c>
      <x:c r="E9" s="24" t="str">
        <x:v>feature/TK-###; PR review; không force push main</x:v>
      </x:c>
      <x:c r="F9" s="24" t="str">
        <x:v>PROJECT_STRUCTURE.md; SRS 4.1</x:v>
      </x:c>
    </x:row>
    <x:row r="10" ht="44" customHeight="1">
      <x:c r="A10" s="28" t="str">
        <x:v>src/database/accounts.py</x:v>
      </x:c>
      <x:c r="B10" s="28" t="str">
        <x:v>Duy</x:v>
      </x:c>
      <x:c r="C10" s="28" t="str">
        <x:v>Quý</x:v>
      </x:c>
      <x:c r="D10" s="28" t="str">
        <x:v>Accounts, preferences, bookmarks</x:v>
      </x:c>
      <x:c r="E10" s="28" t="str">
        <x:v>feature/TK-###; PR review; không force push main</x:v>
      </x:c>
      <x:c r="F10" s="28" t="str">
        <x:v>PROJECT_STRUCTURE.md; SRS 4.1</x:v>
      </x:c>
    </x:row>
    <x:row r="11" ht="44" customHeight="1">
      <x:c r="A11" s="24" t="str">
        <x:v>src/database/migrations.py; database/migrations/</x:v>
      </x:c>
      <x:c r="B11" s="24" t="str">
        <x:v>Duy</x:v>
      </x:c>
      <x:c r="C11" s="24" t="str">
        <x:v>Quý</x:v>
      </x:c>
      <x:c r="D11" s="24" t="str">
        <x:v>Migrations, schema, rollback</x:v>
      </x:c>
      <x:c r="E11" s="24" t="str">
        <x:v>feature/TK-###; PR review; không force push main</x:v>
      </x:c>
      <x:c r="F11" s="24" t="str">
        <x:v>PROJECT_STRUCTURE.md; SRS 4.1</x:v>
      </x:c>
    </x:row>
    <x:row r="12" ht="44" customHeight="1">
      <x:c r="A12" s="28" t="str">
        <x:v>src/database/books.py; src/database/jobs.py</x:v>
      </x:c>
      <x:c r="B12" s="28" t="str">
        <x:v>Quý</x:v>
      </x:c>
      <x:c r="C12" s="28" t="str">
        <x:v>Duy</x:v>
      </x:c>
      <x:c r="D12" s="28" t="str">
        <x:v>Upsert, job counters, crawl evidence</x:v>
      </x:c>
      <x:c r="E12" s="28" t="str">
        <x:v>feature/TK-###; PR review; không force push main</x:v>
      </x:c>
      <x:c r="F12" s="28" t="str">
        <x:v>PROJECT_STRUCTURE.md; SRS 4.1</x:v>
      </x:c>
    </x:row>
    <x:row r="13" ht="44" customHeight="1">
      <x:c r="A13" s="24" t="str">
        <x:v>crawler/</x:v>
      </x:c>
      <x:c r="B13" s="24" t="str">
        <x:v>Quý</x:v>
      </x:c>
      <x:c r="C13" s="24" t="str">
        <x:v>Duy</x:v>
      </x:c>
      <x:c r="D13" s="24" t="str">
        <x:v>Spider/parser/pipeline, policy</x:v>
      </x:c>
      <x:c r="E13" s="24" t="str">
        <x:v>feature/TK-###; PR review; không force push main</x:v>
      </x:c>
      <x:c r="F13" s="24" t="str">
        <x:v>PROJECT_STRUCTURE.md; SRS 4.1</x:v>
      </x:c>
    </x:row>
    <x:row r="14" ht="44" customHeight="1">
      <x:c r="A14" s="28" t="str">
        <x:v>src/i18n.py</x:v>
      </x:c>
      <x:c r="B14" s="28" t="str">
        <x:v>Huy</x:v>
      </x:c>
      <x:c r="C14" s="28" t="str">
        <x:v>Duy</x:v>
      </x:c>
      <x:c r="D14" s="28" t="str">
        <x:v>Dictionary VI/EN</x:v>
      </x:c>
      <x:c r="E14" s="28" t="str">
        <x:v>feature/TK-###; PR review; không force push main</x:v>
      </x:c>
      <x:c r="F14" s="28" t="str">
        <x:v>PROJECT_STRUCTURE.md; SRS 4.1</x:v>
      </x:c>
    </x:row>
    <x:row r="15" ht="44" customHeight="1">
      <x:c r="A15" s="24" t="str">
        <x:v>tests/</x:v>
      </x:c>
      <x:c r="B15" s="24" t="str">
        <x:v>Quý</x:v>
      </x:c>
      <x:c r="C15" s="24" t="str">
        <x:v>Duy</x:v>
      </x:c>
      <x:c r="D15" s="24" t="str">
        <x:v>Crawler unit base, cross-team QA</x:v>
      </x:c>
      <x:c r="E15" s="24" t="str">
        <x:v>feature/TK-###; PR review; không force push main</x:v>
      </x:c>
      <x:c r="F15" s="24" t="str">
        <x:v>PROJECT_STRUCTURE.md; SRS 4.1</x:v>
      </x:c>
    </x:row>
    <x:row r="16" ht="44" customHeight="1">
      <x:c r="A16" s="28" t="str">
        <x:v>scripts/; START_HERE.bat</x:v>
      </x:c>
      <x:c r="B16" s="28" t="str">
        <x:v>Duy</x:v>
      </x:c>
      <x:c r="C16" s="28" t="str">
        <x:v>Huy</x:v>
      </x:c>
      <x:c r="D16" s="28" t="str">
        <x:v>Windows setup &amp; validation</x:v>
      </x:c>
      <x:c r="E16" s="28" t="str">
        <x:v>feature/TK-###; PR review; không force push main</x:v>
      </x:c>
      <x:c r="F16" s="28" t="str">
        <x:v>PROJECT_STRUCTURE.md; SRS 4.1</x:v>
      </x:c>
    </x:row>
    <x:row r="17" ht="44" customHeight="1">
      <x:c r="A17" s="24" t="str">
        <x:v>docs/; README.md</x:v>
      </x:c>
      <x:c r="B17" s="24" t="str">
        <x:v>Huy</x:v>
      </x:c>
      <x:c r="C17" s="24" t="str">
        <x:v>Duy</x:v>
      </x:c>
      <x:c r="D17" s="24" t="str">
        <x:v>SRS, API, report, instructions</x:v>
      </x:c>
      <x:c r="E17" s="24" t="str">
        <x:v>feature/TK-###; PR review; không force push main</x:v>
      </x:c>
      <x:c r="F17" s="24" t="str">
        <x:v>PROJECT_STRUCTURE.md; SRS 4.1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48" hidden="0" customWidth="1"/>
    <x:col min="3" max="3" width="15" hidden="0" customWidth="1"/>
    <x:col min="4" max="4" width="15" hidden="0" customWidth="1"/>
    <x:col min="5" max="5" width="65" hidden="0" customWidth="1"/>
    <x:col min="6" max="6" width="23" hidden="0" customWidth="1"/>
    <x:col min="7" max="7" width="19" hidden="0" customWidth="1"/>
    <x:col min="8" max="8" width="31" hidden="0" customWidth="1"/>
  </x:cols>
  <x:sheetData>
    <x:row r="1" ht="34" customHeight="1">
      <x:c r="A1" s="4" t="str">
        <x:v>QUẢN LÝ RỦI RO &amp; CHẶN RELEASE</x:v>
      </x:c>
      <x:c r="B1" s="4"/>
      <x:c r="C1" s="4"/>
      <x:c r="D1" s="4"/>
      <x:c r="E1" s="4"/>
      <x:c r="F1" s="4"/>
      <x:c r="G1" s="4"/>
      <x:c r="H1" s="4"/>
    </x:row>
    <x:row r="2" ht="26" customHeight="1">
      <x:c r="A2" s="10" t="str">
        <x:v>Mọi blocker cần owner, giải pháp, bằng chứng và người review.</x:v>
      </x:c>
      <x:c r="B2" s="10"/>
      <x:c r="C2" s="10"/>
      <x:c r="D2" s="10"/>
      <x:c r="E2" s="10"/>
      <x:c r="F2" s="10"/>
      <x:c r="G2" s="10"/>
      <x:c r="H2" s="10"/>
    </x:row>
    <x:row r="4" ht="30" customHeight="1">
      <x:c r="A4" s="17" t="str">
        <x:v>Risk ID</x:v>
      </x:c>
      <x:c r="B4" s="17" t="str">
        <x:v>Rủi ro</x:v>
      </x:c>
      <x:c r="C4" s="17" t="str">
        <x:v>Xác suất</x:v>
      </x:c>
      <x:c r="D4" s="17" t="str">
        <x:v>Tác động</x:v>
      </x:c>
      <x:c r="E4" s="17" t="str">
        <x:v>Giảm thiểu / phản ứng</x:v>
      </x:c>
      <x:c r="F4" s="17" t="str">
        <x:v>Owner</x:v>
      </x:c>
      <x:c r="G4" s="17" t="str">
        <x:v>Trạng thái</x:v>
      </x:c>
      <x:c r="H4" s="17" t="str">
        <x:v>Issue/Evidence</x:v>
      </x:c>
    </x:row>
    <x:row r="5" ht="44" customHeight="1">
      <x:c r="A5" s="24" t="str">
        <x:v>RSK-01</x:v>
      </x:c>
      <x:c r="B5" s="24" t="str">
        <x:v>Thiếu Flask/Scrapy trên máy nhóm</x:v>
      </x:c>
      <x:c r="C5" s="24" t="str">
        <x:v>Cao</x:v>
      </x:c>
      <x:c r="D5" s="24" t="str">
        <x:v>Cao</x:v>
      </x:c>
      <x:c r="E5" s="24" t="str">
        <x:v>Setup venv từ requirements, chạy pytest và pin Python 3.11/3.12</x:v>
      </x:c>
      <x:c r="F5" s="24" t="str">
        <x:v>Duy</x:v>
      </x:c>
      <x:c r="G5" s="24" t="str">
        <x:v>Đang theo dõi</x:v>
      </x:c>
      <x:c r="H5" s="24" t="str"/>
    </x:row>
    <x:row r="6" ht="44" customHeight="1">
      <x:c r="A6" s="28" t="str">
        <x:v>RSK-02</x:v>
      </x:c>
      <x:c r="B6" s="28" t="str">
        <x:v>Crawl live bị lỗi mạng hoặc trang nguồn đổi HTML</x:v>
      </x:c>
      <x:c r="C6" s="28" t="str">
        <x:v>Cao</x:v>
      </x:c>
      <x:c r="D6" s="28" t="str">
        <x:v>Cao</x:v>
      </x:c>
      <x:c r="E6" s="28" t="str">
        <x:v>Smoke max_pages=1, fixture regression, log và cảnh báo thay vì tạo sách giả</x:v>
      </x:c>
      <x:c r="F6" s="28" t="str">
        <x:v>Quý</x:v>
      </x:c>
      <x:c r="G6" s="28" t="str">
        <x:v>Đang theo dõi</x:v>
      </x:c>
      <x:c r="H6" s="28" t="str"/>
    </x:row>
    <x:row r="7" ht="44" customHeight="1">
      <x:c r="A7" s="24" t="str">
        <x:v>RSK-03</x:v>
      </x:c>
      <x:c r="B7" s="24" t="str">
        <x:v>Hai user nhìn thấy dữ liệu riêng của nhau</x:v>
      </x:c>
      <x:c r="C7" s="24" t="str">
        <x:v>Trung bình</x:v>
      </x:c>
      <x:c r="D7" s="24" t="str">
        <x:v>Rất cao</x:v>
      </x:c>
      <x:c r="E7" s="24" t="str">
        <x:v>2-account E2E; SQL user_id filters; 404 khi xem job khác</x:v>
      </x:c>
      <x:c r="F7" s="24" t="str">
        <x:v>Duy</x:v>
      </x:c>
      <x:c r="G7" s="24" t="str">
        <x:v>Đang theo dõi</x:v>
      </x:c>
      <x:c r="H7" s="24" t="str"/>
    </x:row>
    <x:row r="8" ht="44" customHeight="1">
      <x:c r="A8" s="28" t="str">
        <x:v>RSK-04</x:v>
      </x:c>
      <x:c r="B8" s="28" t="str">
        <x:v>Migrations ảnh hưởng dữ liệu thật</x:v>
      </x:c>
      <x:c r="C8" s="28" t="str">
        <x:v>Trung bình</x:v>
      </x:c>
      <x:c r="D8" s="28" t="str">
        <x:v>Rất cao</x:v>
      </x:c>
      <x:c r="E8" s="28" t="str">
        <x:v>Backup SQLite đóng/backup API, upgrade DB copy, integrity_check</x:v>
      </x:c>
      <x:c r="F8" s="28" t="str">
        <x:v>Duy</x:v>
      </x:c>
      <x:c r="G8" s="28" t="str">
        <x:v>Đang theo dõi</x:v>
      </x:c>
      <x:c r="H8" s="28" t="str"/>
    </x:row>
    <x:row r="9" ht="44" customHeight="1">
      <x:c r="A9" s="24" t="str">
        <x:v>RSK-05</x:v>
      </x:c>
      <x:c r="B9" s="24" t="str">
        <x:v>Frontend nhiều trang vẫn còn bug UI/UX</x:v>
      </x:c>
      <x:c r="C9" s="24" t="str">
        <x:v>Cao</x:v>
      </x:c>
      <x:c r="D9" s="24" t="str">
        <x:v>Trung bình</x:v>
      </x:c>
      <x:c r="E9" s="24" t="str">
        <x:v>Visual QA 320/768/1366; screenshot evidence; check i18n/theme</x:v>
      </x:c>
      <x:c r="F9" s="24" t="str">
        <x:v>Huy</x:v>
      </x:c>
      <x:c r="G9" s="24" t="str">
        <x:v>Đang theo dõi</x:v>
      </x:c>
      <x:c r="H9" s="24" t="str"/>
    </x:row>
    <x:row r="10" ht="44" customHeight="1">
      <x:c r="A10" s="28" t="str">
        <x:v>RSK-06</x:v>
      </x:c>
      <x:c r="B10" s="28" t="str">
        <x:v>Forgot password SMTP không gửi được</x:v>
      </x:c>
      <x:c r="C10" s="28" t="str">
        <x:v>Cao</x:v>
      </x:c>
      <x:c r="D10" s="28" t="str">
        <x:v>Trung bình</x:v>
      </x:c>
      <x:c r="E10" s="28" t="str">
        <x:v>Thiết lập app password TLS 587, test và ghi log không chứa token</x:v>
      </x:c>
      <x:c r="F10" s="28" t="str">
        <x:v>Duy</x:v>
      </x:c>
      <x:c r="G10" s="28" t="str">
        <x:v>Đang theo dõi</x:v>
      </x:c>
      <x:c r="H10" s="28" t="str"/>
    </x:row>
    <x:row r="11" ht="44" customHeight="1">
      <x:c r="A11" s="24" t="str">
        <x:v>RSK-07</x:v>
      </x:c>
      <x:c r="B11" s="24" t="str">
        <x:v>Conflict do AI Agent sửa cùng một file</x:v>
      </x:c>
      <x:c r="C11" s="24" t="str">
        <x:v>Cao</x:v>
      </x:c>
      <x:c r="D11" s="24" t="str">
        <x:v>Cao</x:v>
      </x:c>
      <x:c r="E11" s="24" t="str">
        <x:v>One owner file/module, branch theo task, PR review, cấm force push main</x:v>
      </x:c>
      <x:c r="F11" s="24" t="str">
        <x:v>Huy</x:v>
      </x:c>
      <x:c r="G11" s="24" t="str">
        <x:v>Đang theo dõi</x:v>
      </x:c>
      <x:c r="H11" s="24" t="str"/>
    </x:row>
    <x:row r="12" ht="44" customHeight="1">
      <x:c r="A12" s="28" t="str">
        <x:v>RSK-08</x:v>
      </x:c>
      <x:c r="B12" s="28" t="str">
        <x:v>Crawl job treo khi kill subprocess</x:v>
      </x:c>
      <x:c r="C12" s="28" t="str">
        <x:v>Trung bình</x:v>
      </x:c>
      <x:c r="D12" s="28" t="str">
        <x:v>Cao</x:v>
      </x:c>
      <x:c r="E12" s="28" t="str">
        <x:v>Thử kill, hướng dẫn recovery, trạng thái job rõ</x:v>
      </x:c>
      <x:c r="F12" s="28" t="str">
        <x:v>Quý</x:v>
      </x:c>
      <x:c r="G12" s="28" t="str">
        <x:v>Đang theo dõi</x:v>
      </x:c>
      <x:c r="H12" s="28" t="str"/>
    </x:row>
    <x:row r="13" ht="44" customHeight="1">
      <x:c r="A13" s="24" t="str">
        <x:v>RSK-09</x:v>
      </x:c>
      <x:c r="B13" s="24" t="str">
        <x:v>Báo cáo tiếng Anh thiếu yêu cầu giảng viên</x:v>
      </x:c>
      <x:c r="C13" s="24" t="str">
        <x:v>Trung bình</x:v>
      </x:c>
      <x:c r="D13" s="24" t="str">
        <x:v>Cao</x:v>
      </x:c>
      <x:c r="E13" s="24" t="str">
        <x:v>Dành ngày 7-10 cho 20–60 trang, Word/PDF, 3 người quay video</x:v>
      </x:c>
      <x:c r="F13" s="24" t="str">
        <x:v>Huy</x:v>
      </x:c>
      <x:c r="G13" s="24" t="str">
        <x:v>Đang theo dõi</x:v>
      </x:c>
      <x:c r="H13" s="24" t="str"/>
    </x:row>
    <x:row r="14" ht="44" customHeight="1">
      <x:c r="A14" s="28" t="str">
        <x:v>RSK-10</x:v>
      </x:c>
      <x:c r="B14" s="28" t="str">
        <x:v>Sai tiến độ vì coi "có code" là Done</x:v>
      </x:c>
      <x:c r="C14" s="28" t="str">
        <x:v>Cao</x:v>
      </x:c>
      <x:c r="D14" s="28" t="str">
        <x:v>Cao</x:v>
      </x:c>
      <x:c r="E14" s="28" t="str">
        <x:v>Chỉ Done sau reviewer + test evidence và Excel cập nhật</x:v>
      </x:c>
      <x:c r="F14" s="28" t="str">
        <x:v>Huy</x:v>
      </x:c>
      <x:c r="G14" s="28" t="str">
        <x:v>Đang theo dõi</x:v>
      </x:c>
      <x:c r="H14" s="28" t="str"/>
    </x:row>
    <x:row r="15" ht="44" customHeight="1">
      <x:c r="A15" s="24" t="str">
        <x:v>RSK-11</x:v>
      </x:c>
      <x:c r="B15" s="24" t="str">
        <x:v>Đặt LTW-TH trong htdocs lộ SQLite/source</x:v>
      </x:c>
      <x:c r="C15" s="24" t="str">
        <x:v>Trung bình</x:v>
      </x:c>
      <x:c r="D15" s="24" t="str">
        <x:v>Rất cao</x:v>
      </x:c>
      <x:c r="E15" s="24" t="str">
        <x:v>App chạy Flask localhost, DB private ngoài htdocs; không expose Apache</x:v>
      </x:c>
      <x:c r="F15" s="24" t="str">
        <x:v>Duy</x:v>
      </x:c>
      <x:c r="G15" s="24" t="str">
        <x:v>Đang theo dõi</x:v>
      </x:c>
      <x:c r="H15" s="24" t="str"/>
    </x:row>
    <x:row r="16" ht="44" customHeight="1">
      <x:c r="A16" s="28" t="str">
        <x:v>RSK-12</x:v>
      </x:c>
      <x:c r="B16" s="28" t="str">
        <x:v>CSV formula injection/trường độc hại</x:v>
      </x:c>
      <x:c r="C16" s="28" t="str">
        <x:v>Trung bình</x:v>
      </x:c>
      <x:c r="D16" s="28" t="str">
        <x:v>Trung bình</x:v>
      </x:c>
      <x:c r="E16" s="28" t="str">
        <x:v>Audit CSV escaping; prefix công thức khi mở Excel nếu cần</x:v>
      </x:c>
      <x:c r="F16" s="28" t="str">
        <x:v>Duy</x:v>
      </x:c>
      <x:c r="G16" s="28" t="str">
        <x:v>Đang theo dõi</x:v>
      </x:c>
      <x:c r="H16" s="28" t="str"/>
    </x:row>
  </x:sheetData>
  <x:mergeCells>
    <x:mergeCell ref="A1:H1"/>
    <x:mergeCell ref="A2:H2"/>
  </x:mergeCells>
  <x:dataValidations count="1">
    <x:dataValidation type="list" sqref="G5:G16">
      <x:formula1>"Đang theo dõi,Đã giảm thiểu,Đã xảy ra,Đóng"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55" hidden="0" customWidth="1"/>
    <x:col min="3" max="3" width="16" hidden="0" customWidth="1"/>
    <x:col min="4" max="4" width="58" hidden="0" customWidth="1"/>
    <x:col min="5" max="5" width="70" hidden="0" customWidth="1"/>
    <x:col min="6" max="6" width="22" hidden="0" customWidth="1"/>
    <x:col min="7" max="7" width="14" hidden="0" customWidth="1"/>
  </x:cols>
  <x:sheetData>
    <x:row r="1" ht="34" customHeight="1">
      <x:c r="A1" s="4" t="str">
        <x:v>AUDIT SOURCE V4 · KHÔNG NHẦM CODE VỚI ACCEPTED</x:v>
      </x:c>
      <x:c r="B1" s="4"/>
      <x:c r="C1" s="4"/>
      <x:c r="D1" s="4"/>
      <x:c r="E1" s="4"/>
      <x:c r="F1" s="4"/>
      <x:c r="G1" s="4"/>
    </x:row>
    <x:row r="2" ht="26" customHeight="1">
      <x:c r="A2" s="10" t="str">
        <x:v>Snapshot file source 21/10/2026. Hiện môi trường có 50 PASS/4 SKIP, không xác nhận live.</x:v>
      </x:c>
      <x:c r="B2" s="10"/>
      <x:c r="C2" s="10"/>
      <x:c r="D2" s="10"/>
      <x:c r="E2" s="10"/>
      <x:c r="F2" s="10"/>
      <x:c r="G2" s="10"/>
    </x:row>
    <x:row r="4" ht="30" customHeight="1">
      <x:c r="A4" s="17" t="str">
        <x:v>Module</x:v>
      </x:c>
      <x:c r="B4" s="17" t="str">
        <x:v>Code path</x:v>
      </x:c>
      <x:c r="C4" s="17" t="str">
        <x:v>Có code V4</x:v>
      </x:c>
      <x:c r="D4" s="17" t="str">
        <x:v>Bằng chứng kỹ thuật đã có</x:v>
      </x:c>
      <x:c r="E4" s="17" t="str">
        <x:v>Thiếu / cần nghiệm thu</x:v>
      </x:c>
      <x:c r="F4" s="17" t="str">
        <x:v>Owner</x:v>
      </x:c>
      <x:c r="G4" s="17" t="str">
        <x:v>Mức ưu tiên</x:v>
      </x:c>
    </x:row>
    <x:row r="5" ht="44" customHeight="1">
      <x:c r="A5" s="24" t="str">
        <x:v>Landing</x:v>
      </x:c>
      <x:c r="B5" s="24" t="str">
        <x:v>templates/index.html; static/css/platform.css</x:v>
      </x:c>
      <x:c r="C5" s="24" t="str">
        <x:v>Có</x:v>
      </x:c>
      <x:c r="D5" s="24" t="str">
        <x:v>Template render/JS syntax</x:v>
      </x:c>
      <x:c r="E5" s="24" t="str">
        <x:v>CTA, copy, responsive 320px, accessibility</x:v>
      </x:c>
      <x:c r="F5" s="24" t="str">
        <x:v>Huy</x:v>
      </x:c>
      <x:c r="G5" s="24" t="str">
        <x:v>P0</x:v>
      </x:c>
    </x:row>
    <x:row r="6" ht="44" customHeight="1">
      <x:c r="A6" s="28" t="str">
        <x:v>Auth register/login</x:v>
      </x:c>
      <x:c r="B6" s="28" t="str">
        <x:v>src/web/auth.py; src/database/accounts.py</x:v>
      </x:c>
      <x:c r="C6" s="28" t="str">
        <x:v>Có</x:v>
      </x:c>
      <x:c r="D6" s="28" t="str">
        <x:v>DB auth/hash/validation tests</x:v>
      </x:c>
      <x:c r="E6" s="28" t="str">
        <x:v>Flask session/HTTP/cookies/CSRF</x:v>
      </x:c>
      <x:c r="F6" s="28" t="str">
        <x:v>Duy</x:v>
      </x:c>
      <x:c r="G6" s="28" t="str">
        <x:v>P0</x:v>
      </x:c>
    </x:row>
    <x:row r="7" ht="44" customHeight="1">
      <x:c r="A7" s="24" t="str">
        <x:v>Forgot/SMTP</x:v>
      </x:c>
      <x:c r="B7" s="24" t="str">
        <x:v>src/web/mail.py; auth.py</x:v>
      </x:c>
      <x:c r="C7" s="24" t="str">
        <x:v>Có</x:v>
      </x:c>
      <x:c r="D7" s="24" t="str">
        <x:v>Reset token TTL/reuse offline</x:v>
      </x:c>
      <x:c r="E7" s="24" t="str">
        <x:v>SMTP live, expired token E2E, prod-safe config</x:v>
      </x:c>
      <x:c r="F7" s="24" t="str">
        <x:v>Duy</x:v>
      </x:c>
      <x:c r="G7" s="24" t="str">
        <x:v>P0</x:v>
      </x:c>
    </x:row>
    <x:row r="8" ht="44" customHeight="1">
      <x:c r="A8" s="28" t="str">
        <x:v>VI/EN</x:v>
      </x:c>
      <x:c r="B8" s="28" t="str">
        <x:v>src/i18n.py; static/js/common.js</x:v>
      </x:c>
      <x:c r="C8" s="28" t="str">
        <x:v>Có</x:v>
      </x:c>
      <x:c r="D8" s="28" t="str">
        <x:v>Jinja compile language tests</x:v>
      </x:c>
      <x:c r="E8" s="28" t="str">
        <x:v>Dynamic JS strings toàn bộ trang/notifications</x:v>
      </x:c>
      <x:c r="F8" s="28" t="str">
        <x:v>Huy</x:v>
      </x:c>
      <x:c r="G8" s="28" t="str">
        <x:v>P0</x:v>
      </x:c>
    </x:row>
    <x:row r="9" ht="44" customHeight="1">
      <x:c r="A9" s="24" t="str">
        <x:v>Dark/system</x:v>
      </x:c>
      <x:c r="B9" s="24" t="str">
        <x:v>static/css/platform.css; common.js</x:v>
      </x:c>
      <x:c r="C9" s="24" t="str">
        <x:v>Có</x:v>
      </x:c>
      <x:c r="D9" s="24" t="str">
        <x:v>CSS structural QA</x:v>
      </x:c>
      <x:c r="E9" s="24" t="str">
        <x:v>Contrast/flash/persistence real browser</x:v>
      </x:c>
      <x:c r="F9" s="24" t="str">
        <x:v>Huy</x:v>
      </x:c>
      <x:c r="G9" s="24" t="str">
        <x:v>P0</x:v>
      </x:c>
    </x:row>
    <x:row r="10" ht="44" customHeight="1">
      <x:c r="A10" s="28" t="str">
        <x:v>Settings</x:v>
      </x:c>
      <x:c r="B10" s="28" t="str">
        <x:v>templates/settings.html; workspace-pages.js</x:v>
      </x:c>
      <x:c r="C10" s="28" t="str">
        <x:v>Có</x:v>
      </x:c>
      <x:c r="D10" s="28" t="str">
        <x:v>Unit preference in database</x:v>
      </x:c>
      <x:c r="E10" s="28" t="str">
        <x:v>Update profile/password/locale/layout browser</x:v>
      </x:c>
      <x:c r="F10" s="28" t="str">
        <x:v>Huy</x:v>
      </x:c>
      <x:c r="G10" s="28" t="str">
        <x:v>P0</x:v>
      </x:c>
    </x:row>
    <x:row r="11" ht="44" customHeight="1">
      <x:c r="A11" s="24" t="str">
        <x:v>Dashboard</x:v>
      </x:c>
      <x:c r="B11" s="24" t="str">
        <x:v>dashboard.html; static/js/dashboard.js</x:v>
      </x:c>
      <x:c r="C11" s="24" t="str">
        <x:v>Có</x:v>
      </x:c>
      <x:c r="D11" s="24" t="str">
        <x:v>DB summary/rating tests</x:v>
      </x:c>
      <x:c r="E11" s="24" t="str">
        <x:v>Poll/reload during active live job</x:v>
      </x:c>
      <x:c r="F11" s="24" t="str">
        <x:v>Huy</x:v>
      </x:c>
      <x:c r="G11" s="24" t="str">
        <x:v>P0</x:v>
      </x:c>
    </x:row>
    <x:row r="12" ht="44" customHeight="1">
      <x:c r="A12" s="28" t="str">
        <x:v>Books</x:v>
      </x:c>
      <x:c r="B12" s="28" t="str">
        <x:v>books.html; static/js/books.js</x:v>
      </x:c>
      <x:c r="C12" s="28" t="str">
        <x:v>Có</x:v>
      </x:c>
      <x:c r="D12" s="28" t="str">
        <x:v>DB search/price unit tests</x:v>
      </x:c>
      <x:c r="E12" s="28" t="str">
        <x:v>E2E filter/pagination/empty/detail modal</x:v>
      </x:c>
      <x:c r="F12" s="28" t="str">
        <x:v>Huy</x:v>
      </x:c>
      <x:c r="G12" s="28" t="str">
        <x:v>P0</x:v>
      </x:c>
    </x:row>
    <x:row r="13" ht="44" customHeight="1">
      <x:c r="A13" s="24" t="str">
        <x:v>Bookmarks</x:v>
      </x:c>
      <x:c r="B13" s="24" t="str">
        <x:v>src/database/accounts.py; workspace.py</x:v>
      </x:c>
      <x:c r="C13" s="24" t="str">
        <x:v>Có</x:v>
      </x:c>
      <x:c r="D13" s="24" t="str">
        <x:v>2-account isolation unit tests</x:v>
      </x:c>
      <x:c r="E13" s="24" t="str">
        <x:v>E2E session and saved page</x:v>
      </x:c>
      <x:c r="F13" s="24" t="str">
        <x:v>Duy</x:v>
      </x:c>
      <x:c r="G13" s="24" t="str">
        <x:v>P0</x:v>
      </x:c>
    </x:row>
    <x:row r="14" ht="44" customHeight="1">
      <x:c r="A14" s="28" t="str">
        <x:v>Saved searches</x:v>
      </x:c>
      <x:c r="B14" s="28" t="str">
        <x:v>books.js; workspace.py; accounts.py</x:v>
      </x:c>
      <x:c r="C14" s="28" t="str">
        <x:v>Có</x:v>
      </x:c>
      <x:c r="D14" s="28" t="str">
        <x:v>Unit persistence and owner validation</x:v>
      </x:c>
      <x:c r="E14" s="28" t="str">
        <x:v>E2E filter save/delete/reload</x:v>
      </x:c>
      <x:c r="F14" s="28" t="str">
        <x:v>Huy</x:v>
      </x:c>
      <x:c r="G14" s="28" t="str">
        <x:v>P1</x:v>
      </x:c>
    </x:row>
    <x:row r="15" ht="44" customHeight="1">
      <x:c r="A15" s="24" t="str">
        <x:v>History</x:v>
      </x:c>
      <x:c r="B15" s="24" t="str">
        <x:v>history.html; workspace.py</x:v>
      </x:c>
      <x:c r="C15" s="24" t="str">
        <x:v>Có</x:v>
      </x:c>
      <x:c r="D15" s="24" t="str">
        <x:v>SQL user filter source</x:v>
      </x:c>
      <x:c r="E15" s="24" t="str">
        <x:v>Cross-user HTTP 404 &amp; events page</x:v>
      </x:c>
      <x:c r="F15" s="24" t="str">
        <x:v>Duy</x:v>
      </x:c>
      <x:c r="G15" s="24" t="str">
        <x:v>P0</x:v>
      </x:c>
    </x:row>
    <x:row r="16" ht="44" customHeight="1">
      <x:c r="A16" s="28" t="str">
        <x:v>Analytics</x:v>
      </x:c>
      <x:c r="B16" s="28" t="str">
        <x:v>analytics.html; workspace.py</x:v>
      </x:c>
      <x:c r="C16" s="28" t="str">
        <x:v>Có</x:v>
      </x:c>
      <x:c r="D16" s="28" t="str">
        <x:v>SQL views DB offline</x:v>
      </x:c>
      <x:c r="E16" s="28" t="str">
        <x:v>Chart data against real crawled DB</x:v>
      </x:c>
      <x:c r="F16" s="28" t="str">
        <x:v>Huy</x:v>
      </x:c>
      <x:c r="G16" s="28" t="str">
        <x:v>P1</x:v>
      </x:c>
    </x:row>
    <x:row r="17" ht="44" customHeight="1">
      <x:c r="A17" s="24" t="str">
        <x:v>Sources/Help</x:v>
      </x:c>
      <x:c r="B17" s="24" t="str">
        <x:v>sources.html; help.html</x:v>
      </x:c>
      <x:c r="C17" s="24" t="str">
        <x:v>Có</x:v>
      </x:c>
      <x:c r="D17" s="24" t="str">
        <x:v>Templates exist</x:v>
      </x:c>
      <x:c r="E17" s="24" t="str">
        <x:v>Real policy docs + beginner clarity</x:v>
      </x:c>
      <x:c r="F17" s="24" t="str">
        <x:v>Quý</x:v>
      </x:c>
      <x:c r="G17" s="24" t="str">
        <x:v>P1</x:v>
      </x:c>
    </x:row>
    <x:row r="18" ht="44" customHeight="1">
      <x:c r="A18" s="28" t="str">
        <x:v>Spider/parser</x:v>
      </x:c>
      <x:c r="B18" s="28" t="str">
        <x:v>crawler/spiders/books_spider.py; parser.py</x:v>
      </x:c>
      <x:c r="C18" s="28" t="str">
        <x:v>Có</x:v>
      </x:c>
      <x:c r="D18" s="28" t="str">
        <x:v>Fixture/unit parser tests</x:v>
      </x:c>
      <x:c r="E18" s="28" t="str">
        <x:v>Scrapy live 1-3 pages, robots, throttle</x:v>
      </x:c>
      <x:c r="F18" s="28" t="str">
        <x:v>Quý</x:v>
      </x:c>
      <x:c r="G18" s="28" t="str">
        <x:v>P0</x:v>
      </x:c>
    </x:row>
    <x:row r="19" ht="44" customHeight="1">
      <x:c r="A19" s="24" t="str">
        <x:v>Pipeline/jobs</x:v>
      </x:c>
      <x:c r="B19" s="24" t="str">
        <x:v>crawler/run_job.py; pipelines.py; src/database/jobs.py</x:v>
      </x:c>
      <x:c r="C19" s="24" t="str">
        <x:v>Có</x:v>
      </x:c>
      <x:c r="D19" s="24" t="str">
        <x:v>Job DB/index/unit tests</x:v>
      </x:c>
      <x:c r="E19" s="24" t="str">
        <x:v>Live subprocess exit/error/recovery</x:v>
      </x:c>
      <x:c r="F19" s="24" t="str">
        <x:v>Quý</x:v>
      </x:c>
      <x:c r="G19" s="24" t="str">
        <x:v>P0</x:v>
      </x:c>
    </x:row>
    <x:row r="20" ht="44" customHeight="1">
      <x:c r="A20" s="28" t="str">
        <x:v>SQLite 15 tables</x:v>
      </x:c>
      <x:c r="B20" s="28" t="str">
        <x:v>database/migrations/001-004; src/database/*</x:v>
      </x:c>
      <x:c r="C20" s="28" t="str">
        <x:v>Có</x:v>
      </x:c>
      <x:c r="D20" s="28" t="str">
        <x:v>Migration/integrity/regression tests</x:v>
      </x:c>
      <x:c r="E20" s="28" t="str">
        <x:v>Upgrade copied V3 DB + private path Windows</x:v>
      </x:c>
      <x:c r="F20" s="28" t="str">
        <x:v>Duy</x:v>
      </x:c>
      <x:c r="G20" s="28" t="str">
        <x:v>P0</x:v>
      </x:c>
    </x:row>
    <x:row r="21" ht="44" customHeight="1">
      <x:c r="A21" s="24" t="str">
        <x:v>CSV export</x:v>
      </x:c>
      <x:c r="B21" s="24" t="str">
        <x:v>src/web/workspace.py</x:v>
      </x:c>
      <x:c r="C21" s="24" t="str">
        <x:v>Có</x:v>
      </x:c>
      <x:c r="D21" s="24" t="str">
        <x:v>Code exists, Flask test skipped</x:v>
      </x:c>
      <x:c r="E21" s="24" t="str">
        <x:v>Open Excel UTF-8, CSV formula injection review</x:v>
      </x:c>
      <x:c r="F21" s="24" t="str">
        <x:v>Duy</x:v>
      </x:c>
      <x:c r="G21" s="24" t="str">
        <x:v>P1</x:v>
      </x:c>
    </x:row>
    <x:row r="22" ht="44" customHeight="1">
      <x:c r="A22" s="28" t="str">
        <x:v>Windows setup</x:v>
      </x:c>
      <x:c r="B22" s="28" t="str">
        <x:v>START_HERE.bat; scripts/*</x:v>
      </x:c>
      <x:c r="C22" s="28" t="str">
        <x:v>Có</x:v>
      </x:c>
      <x:c r="D22" s="28" t="str">
        <x:v>Code/scripts exist</x:v>
      </x:c>
      <x:c r="E22" s="28" t="str">
        <x:v>Clean install on group machine/htdocs safety</x:v>
      </x:c>
      <x:c r="F22" s="28" t="str">
        <x:v>Duy</x:v>
      </x:c>
      <x:c r="G22" s="28" t="str">
        <x:v>P0</x:v>
      </x:c>
    </x:row>
    <x:row r="23" ht="44" customHeight="1">
      <x:c r="A23" s="24" t="str">
        <x:v>Browser/UI validation</x:v>
      </x:c>
      <x:c r="B23" s="24" t="str">
        <x:v>templates; static</x:v>
      </x:c>
      <x:c r="C23" s="24" t="str">
        <x:v>Có</x:v>
      </x:c>
      <x:c r="D23" s="24" t="str">
        <x:v>Jinja compile &amp; JS syntax</x:v>
      </x:c>
      <x:c r="E23" s="24" t="str">
        <x:v>Chrome/Edge visual/keyboard/contrast</x:v>
      </x:c>
      <x:c r="F23" s="24" t="str">
        <x:v>Huy</x:v>
      </x:c>
      <x:c r="G23" s="24" t="str">
        <x:v>P0</x:v>
      </x:c>
    </x:row>
    <x:row r="24" ht="44" customHeight="1">
      <x:c r="A24" s="28" t="str">
        <x:v>Automated tests</x:v>
      </x:c>
      <x:c r="B24" s="28" t="str">
        <x:v>tests/</x:v>
      </x:c>
      <x:c r="C24" s="28" t="str">
        <x:v>Có</x:v>
      </x:c>
      <x:c r="D24" s="28" t="str">
        <x:v>50 PASS, 4 SKIP in sandbox</x:v>
      </x:c>
      <x:c r="E24" s="28" t="str">
        <x:v>Install Flask/Scrapy then 0 unexpected skip + E2E</x:v>
      </x:c>
      <x:c r="F24" s="28" t="str">
        <x:v>Quý</x:v>
      </x:c>
      <x:c r="G24" s="28" t="str">
        <x:v>P0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98" hidden="0" customWidth="1"/>
    <x:col min="3" max="3" width="68" hidden="0" customWidth="1"/>
    <x:col min="4" max="4" width="26" hidden="0" customWidth="1"/>
  </x:cols>
  <x:sheetData>
    <x:row r="1" ht="34" customHeight="1">
      <x:c r="A1" s="4" t="str">
        <x:v>HƯỚNG DẪN CẬP NHẬT TIẾN ĐỘ</x:v>
      </x:c>
      <x:c r="B1" s="4"/>
      <x:c r="C1" s="4"/>
      <x:c r="D1" s="4"/>
    </x:row>
    <x:row r="2" ht="26" customHeight="1">
      <x:c r="A2" s="10" t="str">
        <x:v>Đọc trước khi team dùng Excel: kế hoạch mới ưu tiên QA, sửa lỗi và release; P2 làm sau.</x:v>
      </x:c>
      <x:c r="B2" s="10"/>
      <x:c r="C2" s="10"/>
      <x:c r="D2" s="10"/>
    </x:row>
    <x:row r="4" ht="30" customHeight="1">
      <x:c r="A4" s="17" t="str">
        <x:v>Nhóm hướng dẫn</x:v>
      </x:c>
      <x:c r="B4" s="17" t="str">
        <x:v>Quy tắc / thao tác</x:v>
      </x:c>
      <x:c r="C4" s="17" t="str">
        <x:v>Ví dụ</x:v>
      </x:c>
      <x:c r="D4" s="17" t="str">
        <x:v>Ai phụ trách</x:v>
      </x:c>
    </x:row>
    <x:row r="5" ht="44" customHeight="1">
      <x:c r="A5" s="24" t="str">
        <x:v>Nguồn</x:v>
      </x:c>
      <x:c r="B5" s="24" t="str">
        <x:v>Dùng source LTW-TH V4, README, docs/API_V4.md, SRS 4.1. Không dùng SRS 2.0 2 màn hình làm baseline.</x:v>
      </x:c>
      <x:c r="C5" s="24" t="str">
        <x:v>50 FR – 18 NFR – 37 TC – 90 tasks – 14 BKL</x:v>
      </x:c>
      <x:c r="D5" s="24" t="str">
        <x:v>Huy</x:v>
      </x:c>
    </x:row>
    <x:row r="6" ht="44" customHeight="1">
      <x:c r="A6" s="28" t="str">
        <x:v>Ngày bắt đầu</x:v>
      </x:c>
      <x:c r="B6" s="28" t="str">
        <x:v>Ô B6 sheet 00 Tong quan mặc định 22/10/2026. D1–D10 thay đổi theo ngày này; không phải deadline chính thức.</x:v>
      </x:c>
      <x:c r="C6" s="28" t="str">
        <x:v>Đổi B6 sang ngày team chốt</x:v>
      </x:c>
      <x:c r="D6" s="28" t="str">
        <x:v>Huy</x:v>
      </x:c>
    </x:row>
    <x:row r="7" ht="44" customHeight="1">
      <x:c r="A7" s="24" t="str">
        <x:v>Trạng thái code</x:v>
      </x:c>
      <x:c r="B7" s="24" t="str">
        <x:v>Có code không nghĩa là đã nghiệm thu. Code hiện hữu mà chưa test live vẫn ghi chưa nghiệm thu.</x:v>
      </x:c>
      <x:c r="C7" s="24" t="str">
        <x:v>50 PASS/4 SKIP chỉ là kiểm thử offline</x:v>
      </x:c>
      <x:c r="D7" s="24" t="str">
        <x:v>Cả nhóm</x:v>
      </x:c>
    </x:row>
    <x:row r="8" ht="44" customHeight="1">
      <x:c r="A8" s="28" t="str">
        <x:v>Task status</x:v>
      </x:c>
      <x:c r="B8" s="28" t="str">
        <x:v>Chưa bắt đầu → Đang làm → Chờ review → Hoàn thành; Bị chặn khi có blocker.</x:v>
      </x:c>
      <x:c r="C8" s="28" t="str">
        <x:v>Cột O sheet Task chi tiết</x:v>
      </x:c>
      <x:c r="D8" s="28" t="str">
        <x:v>Owner</x:v>
      </x:c>
    </x:row>
    <x:row r="9" ht="44" customHeight="1">
      <x:c r="A9" s="24" t="str">
        <x:v>Task Done</x:v>
      </x:c>
      <x:c r="B9" s="24" t="str">
        <x:v>Phải có PR/commit, test automated + manual E2E liên quan, reviewer và link evidence.</x:v>
      </x:c>
      <x:c r="C9" s="24" t="str">
        <x:v>Cột P evidence, Q reviewer</x:v>
      </x:c>
      <x:c r="D9" s="24" t="str">
        <x:v>Owner+reviewer</x:v>
      </x:c>
    </x:row>
    <x:row r="10" ht="44" customHeight="1">
      <x:c r="A10" s="28" t="str">
        <x:v>TC status</x:v>
      </x:c>
      <x:c r="B10" s="28" t="str">
        <x:v>Chưa chạy/Đang chạy/PASS/FAIL/BLOCKED; luôn điền evidence + build + reviewer.</x:v>
      </x:c>
      <x:c r="C10" s="28" t="str">
        <x:v>Sheet 04 Test case cột H</x:v>
      </x:c>
      <x:c r="D10" s="28" t="str">
        <x:v>QA owner</x:v>
      </x:c>
    </x:row>
    <x:row r="11" ht="44" customHeight="1">
      <x:c r="A11" s="24" t="str">
        <x:v>FR QA</x:v>
      </x:c>
      <x:c r="B11" s="24" t="str">
        <x:v>Chỉ chọn Đạt sau khi testcase liên quan PASS và không có blocker.</x:v>
      </x:c>
      <x:c r="C11" s="24" t="str">
        <x:v>Sheet 01 Yeu cau FR cột K</x:v>
      </x:c>
      <x:c r="D11" s="24" t="str">
        <x:v>Leader</x:v>
      </x:c>
    </x:row>
    <x:row r="12" ht="44" customHeight="1">
      <x:c r="A12" s="28" t="str">
        <x:v>P0 trước P1</x:v>
      </x:c>
      <x:c r="B12" s="28" t="str">
        <x:v>Khi P0 chưa pass, không mở backlog P2. Fix bug release trước rồi hãy làm thêm tính năng.</x:v>
      </x:c>
      <x:c r="C12" s="28" t="str">
        <x:v>Backlog BKL-01..14</x:v>
      </x:c>
      <x:c r="D12" s="28" t="str">
        <x:v>Leader</x:v>
      </x:c>
    </x:row>
    <x:row r="13" ht="44" customHeight="1">
      <x:c r="A13" s="24" t="str">
        <x:v>Ownership</x:v>
      </x:c>
      <x:c r="B13" s="24" t="str">
        <x:v>Owner code và reviewer tách nhau khi có thể. Không để 2 AI Agent sửa cùng file cùng lúc.</x:v>
      </x:c>
      <x:c r="C13" s="24" t="str">
        <x:v>Sheet 06 RACI</x:v>
      </x:c>
      <x:c r="D13" s="24" t="str">
        <x:v>Cả nhóm</x:v>
      </x:c>
    </x:row>
    <x:row r="14" ht="44" customHeight="1">
      <x:c r="A14" s="28" t="str">
        <x:v>Git flow</x:v>
      </x:c>
      <x:c r="B14" s="28" t="str">
        <x:v>Tạo branch theo TK ID, review PR, rebase/squash, không force push main.</x:v>
      </x:c>
      <x:c r="C14" s="28" t="str">
        <x:v>fix/TK-045-csrf-check</x:v>
      </x:c>
      <x:c r="D14" s="28" t="str">
        <x:v>Cả nhóm</x:v>
      </x:c>
    </x:row>
    <x:row r="15" ht="44" customHeight="1">
      <x:c r="A15" s="24" t="str">
        <x:v>Migration</x:v>
      </x:c>
      <x:c r="B15" s="24" t="str">
        <x:v>Migration 005+ cho thay đổi DB; không sửa các file 001–004 đã được release. Backup trước.</x:v>
      </x:c>
      <x:c r="C15" s="24" t="str">
        <x:v>database/migrations/005_*.sql</x:v>
      </x:c>
      <x:c r="D15" s="24" t="str">
        <x:v>Duy</x:v>
      </x:c>
    </x:row>
    <x:row r="16" ht="44" customHeight="1">
      <x:c r="A16" s="28" t="str">
        <x:v>Nguồn crawl</x:v>
      </x:c>
      <x:c r="B16" s="28" t="str">
        <x:v>Books to Scrape được whitelist; không input arbitrary URL, tuân thủ robots, max 3 page catalogue/job.</x:v>
      </x:c>
      <x:c r="C16" s="28" t="str">
        <x:v>TC-16, TC-18</x:v>
      </x:c>
      <x:c r="D16" s="28" t="str">
        <x:v>Quý</x:v>
      </x:c>
    </x:row>
    <x:row r="17" ht="44" customHeight="1">
      <x:c r="A17" s="24" t="str">
        <x:v>Dữ liệu user</x:v>
      </x:c>
      <x:c r="B17" s="24" t="str">
        <x:v>Không xuất/chụp mật khẩu hash, reset token, session secret, DB runtime. Demo DB là dữ liệu giả.</x:v>
      </x:c>
      <x:c r="C17" s="24" t="str">
        <x:v>database/examples</x:v>
      </x:c>
      <x:c r="D17" s="24" t="str">
        <x:v>Duy</x:v>
      </x:c>
    </x:row>
    <x:row r="18" ht="44" customHeight="1">
      <x:c r="A18" s="28" t="str">
        <x:v>Báo cáo/video</x:v>
      </x:c>
      <x:c r="B18" s="28" t="str">
        <x:v>Báo cáo Word/PDF tiếng Anh, 20–60 trang nội dung; video &lt;=20 phút và 3 người tham gia.</x:v>
      </x:c>
      <x:c r="C18" s="28" t="str">
        <x:v>D8–D10 tasks</x:v>
      </x:c>
      <x:c r="D18" s="28" t="str">
        <x:v>Huy</x:v>
      </x:c>
    </x:row>
  </x:sheetData>
  <x:mergeCells>
    <x:mergeCell ref="A1:D1"/>
    <x:mergeCell ref="A2:D2"/>
  </x:mergeCells>
  <x:pageMargins left="0.7" right="0.7" top="0.75" bottom="0.75" header="0.3" footer="0.3"/>
</x:worksheet>
</file>